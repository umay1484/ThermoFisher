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activeX/activeX7.xml" ContentType="application/vnd.ms-office.activeX+xml"/>
  <Override PartName="/xl/activeX/activeX8.xml" ContentType="application/vnd.ms-office.activeX+xml"/>
  <Override PartName="/xl/activeX/activeX13.bin" ContentType="application/vnd.ms-office.activeX"/>
  <Override PartName="/xl/activeX/activeX14.bin" ContentType="application/vnd.ms-office.activeX"/>
  <Override PartName="/xl/activeX/activeX5.xml" ContentType="application/vnd.ms-office.activeX+xml"/>
  <Override PartName="/xl/activeX/activeX6.xml" ContentType="application/vnd.ms-office.activeX+xml"/>
  <Override PartName="/xl/activeX/activeX11.bin" ContentType="application/vnd.ms-office.activeX"/>
  <Override PartName="/xl/activeX/activeX12.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0.bin" ContentType="application/vnd.ms-office.activeX"/>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activeX/activeX1.xml" ContentType="application/vnd.ms-office.activeX+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activeX/activeX9.bin" ContentType="application/vnd.ms-office.activeX"/>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ctrlProps/ctrlProp3.xml" ContentType="application/vnd.ms-excel.controlproperties+xml"/>
  <Override PartName="/xl/ctrlProps/ctrlProp4.xml" ContentType="application/vnd.ms-excel.controlproperties+xml"/>
  <Override PartName="/xl/activeX/activeX5.bin" ContentType="application/vnd.ms-office.activeX"/>
  <Override PartName="/xl/activeX/activeX6.bin" ContentType="application/vnd.ms-office.activeX"/>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Default Extension="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65" yWindow="150" windowWidth="19440" windowHeight="12585" tabRatio="928"/>
  </bookViews>
  <sheets>
    <sheet name="検定記録書" sheetId="30" r:id="rId1"/>
    <sheet name="データ" sheetId="31" r:id="rId2"/>
  </sheets>
  <functionGroups/>
  <externalReferences>
    <externalReference r:id="rId3"/>
    <externalReference r:id="rId4"/>
  </externalReferences>
  <definedNames>
    <definedName name="_xlnm.Print_Area" localSheetId="0">検定記録書!$A$50:$AM$112</definedName>
  </definedNames>
  <calcPr calcId="125725"/>
</workbook>
</file>

<file path=xl/calcChain.xml><?xml version="1.0" encoding="utf-8"?>
<calcChain xmlns="http://schemas.openxmlformats.org/spreadsheetml/2006/main">
  <c r="O13" i="31"/>
  <c r="O12"/>
  <c r="O11"/>
  <c r="O10"/>
  <c r="O9"/>
  <c r="O8"/>
  <c r="O7"/>
  <c r="O6"/>
  <c r="O5"/>
  <c r="O4"/>
  <c r="O3"/>
  <c r="O2"/>
  <c r="K37" i="30"/>
  <c r="M37" s="1"/>
  <c r="K38"/>
  <c r="M38" s="1"/>
  <c r="G17" l="1"/>
  <c r="S5"/>
  <c r="S1"/>
  <c r="G11" l="1"/>
  <c r="G9" l="1"/>
  <c r="G10"/>
  <c r="G15"/>
  <c r="G16" s="1"/>
  <c r="S4" s="1"/>
  <c r="I21"/>
  <c r="J21"/>
  <c r="I23"/>
  <c r="J23"/>
  <c r="I25"/>
  <c r="J25"/>
  <c r="I30"/>
  <c r="J30"/>
  <c r="I32"/>
  <c r="J32"/>
  <c r="K30" l="1"/>
  <c r="L30" s="1"/>
  <c r="K25"/>
  <c r="L25" s="1"/>
  <c r="K32"/>
  <c r="L32" s="1"/>
  <c r="K23"/>
  <c r="L23" s="1"/>
  <c r="K21"/>
  <c r="S3"/>
  <c r="S2"/>
  <c r="M34" l="1"/>
  <c r="L21"/>
  <c r="AC70"/>
  <c r="AC72" l="1"/>
  <c r="AC71"/>
</calcChain>
</file>

<file path=xl/sharedStrings.xml><?xml version="1.0" encoding="utf-8"?>
<sst xmlns="http://schemas.openxmlformats.org/spreadsheetml/2006/main" count="263" uniqueCount="199">
  <si>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</si>
  <si>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</si>
  <si>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</si>
  <si>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</si>
  <si>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 Calibration</t>
    <phoneticPr fontId="1"/>
  </si>
  <si>
    <t>オートピペット性能試験報告書</t>
    <rPh sb="7" eb="9">
      <t>セイノウ</t>
    </rPh>
    <rPh sb="11" eb="14">
      <t>ホウコクショ</t>
    </rPh>
    <phoneticPr fontId="1"/>
  </si>
  <si>
    <t>オートピペット</t>
    <phoneticPr fontId="1"/>
  </si>
  <si>
    <t>点検　   責任者</t>
    <rPh sb="0" eb="2">
      <t>テンケン</t>
    </rPh>
    <rPh sb="6" eb="9">
      <t>セキニンシャ</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</si>
  <si>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</si>
  <si>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</si>
  <si>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</si>
  <si>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</si>
  <si>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</si>
  <si>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</si>
  <si>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</si>
  <si>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　　 年 　　 　月  　　　日</t>
    <rPh sb="3" eb="4">
      <t>ネン</t>
    </rPh>
    <rPh sb="9" eb="10">
      <t>ツキ</t>
    </rPh>
    <rPh sb="15" eb="16">
      <t>ヒ</t>
    </rPh>
    <phoneticPr fontId="1"/>
  </si>
  <si>
    <t>Documents 
Title</t>
    <phoneticPr fontId="1"/>
  </si>
  <si>
    <t>　　　サーモフィッシャーサイエンティフィック株式会社</t>
    <phoneticPr fontId="1"/>
  </si>
  <si>
    <t>SOPT-C01４</t>
    <phoneticPr fontId="1"/>
  </si>
  <si>
    <t>①管理NO.を選択すると必要なデータが反映する。</t>
    <rPh sb="1" eb="3">
      <t>カンリ</t>
    </rPh>
    <rPh sb="7" eb="9">
      <t>センタク</t>
    </rPh>
    <rPh sb="12" eb="14">
      <t>ヒツヨウ</t>
    </rPh>
    <rPh sb="19" eb="21">
      <t>ハンエイ</t>
    </rPh>
    <phoneticPr fontId="1"/>
  </si>
  <si>
    <t>①検定範囲</t>
    <rPh sb="1" eb="3">
      <t>ケンテイ</t>
    </rPh>
    <rPh sb="3" eb="5">
      <t>ハンイ</t>
    </rPh>
    <phoneticPr fontId="1"/>
  </si>
  <si>
    <t>①メーカー・型式</t>
    <phoneticPr fontId="1"/>
  </si>
  <si>
    <t>②データを開いた日が自動で入る</t>
    <rPh sb="5" eb="6">
      <t>ヒラ</t>
    </rPh>
    <rPh sb="8" eb="9">
      <t>ヒ</t>
    </rPh>
    <rPh sb="10" eb="12">
      <t>ジドウ</t>
    </rPh>
    <rPh sb="13" eb="14">
      <t>ハイ</t>
    </rPh>
    <phoneticPr fontId="1"/>
  </si>
  <si>
    <t>③外観検査</t>
    <phoneticPr fontId="1"/>
  </si>
  <si>
    <t>③Wクリックでチェックが入る</t>
    <rPh sb="12" eb="13">
      <t>ハイ</t>
    </rPh>
    <phoneticPr fontId="1"/>
  </si>
  <si>
    <t>③リークテスト</t>
    <phoneticPr fontId="1"/>
  </si>
  <si>
    <t>①管理No.</t>
    <phoneticPr fontId="1"/>
  </si>
  <si>
    <t>③部品交換後のリークテスト</t>
    <rPh sb="1" eb="3">
      <t>ブヒン</t>
    </rPh>
    <rPh sb="3" eb="5">
      <t>コウカン</t>
    </rPh>
    <rPh sb="5" eb="6">
      <t>ゴ</t>
    </rPh>
    <phoneticPr fontId="1"/>
  </si>
  <si>
    <t>①前回交換実施日：　 　　　　年　　　　　月　　　　　日　　□分解対象外</t>
    <rPh sb="31" eb="33">
      <t>ブンカイ</t>
    </rPh>
    <rPh sb="33" eb="36">
      <t>タイショウガイ</t>
    </rPh>
    <phoneticPr fontId="1"/>
  </si>
  <si>
    <t>部品交換</t>
    <phoneticPr fontId="1"/>
  </si>
  <si>
    <t>①は自動的に反映
④前回交換より1年後に部品交換が発生半年毎にチェック項目が変わるため、計算式が必要</t>
    <rPh sb="2" eb="5">
      <t>ジドウテキ</t>
    </rPh>
    <rPh sb="6" eb="8">
      <t>ハンエイ</t>
    </rPh>
    <rPh sb="10" eb="12">
      <t>ゼンカイ</t>
    </rPh>
    <rPh sb="12" eb="14">
      <t>コウカン</t>
    </rPh>
    <rPh sb="17" eb="19">
      <t>ネンゴ</t>
    </rPh>
    <rPh sb="20" eb="22">
      <t>ブヒン</t>
    </rPh>
    <rPh sb="22" eb="24">
      <t>コウカン</t>
    </rPh>
    <rPh sb="25" eb="27">
      <t>ハッセイ</t>
    </rPh>
    <rPh sb="27" eb="29">
      <t>ハントシ</t>
    </rPh>
    <rPh sb="29" eb="30">
      <t>マイ</t>
    </rPh>
    <rPh sb="35" eb="37">
      <t>コウモク</t>
    </rPh>
    <rPh sb="38" eb="39">
      <t>カ</t>
    </rPh>
    <rPh sb="44" eb="46">
      <t>ケイサン</t>
    </rPh>
    <rPh sb="46" eb="47">
      <t>シキ</t>
    </rPh>
    <rPh sb="48" eb="50">
      <t>ヒツヨウ</t>
    </rPh>
    <phoneticPr fontId="1"/>
  </si>
  <si>
    <t>⑥　⑦の検定容量により、天秤を選別する</t>
    <rPh sb="4" eb="6">
      <t>ケンテイ</t>
    </rPh>
    <rPh sb="6" eb="8">
      <t>ヨウリョウ</t>
    </rPh>
    <rPh sb="12" eb="14">
      <t>テンビン</t>
    </rPh>
    <rPh sb="15" eb="17">
      <t>センベツ</t>
    </rPh>
    <phoneticPr fontId="1"/>
  </si>
  <si>
    <t>⑦　管理NO.により自動で反映</t>
    <rPh sb="2" eb="4">
      <t>カンリ</t>
    </rPh>
    <rPh sb="10" eb="12">
      <t>ジドウ</t>
    </rPh>
    <rPh sb="13" eb="15">
      <t>ハンエイ</t>
    </rPh>
    <phoneticPr fontId="1"/>
  </si>
  <si>
    <t>⑨　⑧により、中外様で規定の変換計算式あり※重要の為、編集不可にする</t>
    <rPh sb="7" eb="9">
      <t>チュウガイ</t>
    </rPh>
    <rPh sb="9" eb="10">
      <t>サマ</t>
    </rPh>
    <rPh sb="11" eb="13">
      <t>キテイ</t>
    </rPh>
    <rPh sb="14" eb="16">
      <t>ヘンカン</t>
    </rPh>
    <rPh sb="16" eb="18">
      <t>ケイサン</t>
    </rPh>
    <rPh sb="18" eb="19">
      <t>シキ</t>
    </rPh>
    <rPh sb="22" eb="24">
      <t>ジュウヨウ</t>
    </rPh>
    <rPh sb="25" eb="26">
      <t>タメ</t>
    </rPh>
    <rPh sb="27" eb="29">
      <t>ヘンシュウ</t>
    </rPh>
    <rPh sb="29" eb="31">
      <t>フカ</t>
    </rPh>
    <phoneticPr fontId="1"/>
  </si>
  <si>
    <t>⑩　⑦の検定容量に対しての適、不適判定を自動でする※判定基準は一覧表あり</t>
    <rPh sb="4" eb="6">
      <t>ケンテイ</t>
    </rPh>
    <rPh sb="6" eb="8">
      <t>ヨウリョウ</t>
    </rPh>
    <rPh sb="9" eb="10">
      <t>タイ</t>
    </rPh>
    <rPh sb="13" eb="14">
      <t>テキ</t>
    </rPh>
    <rPh sb="15" eb="17">
      <t>フテキ</t>
    </rPh>
    <rPh sb="17" eb="19">
      <t>ハンテイ</t>
    </rPh>
    <rPh sb="20" eb="22">
      <t>ジドウ</t>
    </rPh>
    <rPh sb="26" eb="28">
      <t>ハンテイ</t>
    </rPh>
    <rPh sb="28" eb="30">
      <t>キジュン</t>
    </rPh>
    <rPh sb="31" eb="33">
      <t>イチラン</t>
    </rPh>
    <rPh sb="33" eb="34">
      <t>ヒョウ</t>
    </rPh>
    <phoneticPr fontId="1"/>
  </si>
  <si>
    <t>⑤　水温により自動でZfactorを反映させる※Zfactor一覧表あり</t>
    <rPh sb="2" eb="4">
      <t>スイオン</t>
    </rPh>
    <rPh sb="7" eb="9">
      <t>ジドウ</t>
    </rPh>
    <rPh sb="18" eb="20">
      <t>ハンエイ</t>
    </rPh>
    <rPh sb="31" eb="33">
      <t>イチラン</t>
    </rPh>
    <rPh sb="33" eb="34">
      <t>ヒョウ</t>
    </rPh>
    <phoneticPr fontId="1"/>
  </si>
  <si>
    <t>　　　10uL以上の時は、小数点第2位まで表示させる</t>
    <rPh sb="7" eb="9">
      <t>イジョウ</t>
    </rPh>
    <rPh sb="10" eb="11">
      <t>トキ</t>
    </rPh>
    <rPh sb="13" eb="16">
      <t>ショウスウテン</t>
    </rPh>
    <rPh sb="16" eb="17">
      <t>ダイ</t>
    </rPh>
    <rPh sb="18" eb="19">
      <t>イ</t>
    </rPh>
    <rPh sb="21" eb="23">
      <t>ヒョウジ</t>
    </rPh>
    <phoneticPr fontId="1"/>
  </si>
  <si>
    <t>⑪判定</t>
    <rPh sb="1" eb="3">
      <t>ハンテイ</t>
    </rPh>
    <phoneticPr fontId="1"/>
  </si>
  <si>
    <t>⑪　⑩結果を元に自動で反映</t>
    <rPh sb="3" eb="5">
      <t>ケッカ</t>
    </rPh>
    <rPh sb="6" eb="7">
      <t>モト</t>
    </rPh>
    <rPh sb="8" eb="10">
      <t>ジドウ</t>
    </rPh>
    <rPh sb="11" eb="13">
      <t>ハンエイ</t>
    </rPh>
    <phoneticPr fontId="3"/>
  </si>
  <si>
    <t>その結果、機能試験作業を完了しました。システムの動作に影響をおよぼさない例外的な障害や基本的な機能は備考に記載しております。</t>
    <rPh sb="0" eb="4">
      <t>ソノケッカ</t>
    </rPh>
    <rPh sb="50" eb="52">
      <t>ビコウ</t>
    </rPh>
    <phoneticPr fontId="1"/>
  </si>
  <si>
    <t>②　②検定実施日と同じ</t>
    <rPh sb="3" eb="5">
      <t>ケンテイ</t>
    </rPh>
    <rPh sb="5" eb="8">
      <t>ジッシビ</t>
    </rPh>
    <rPh sb="9" eb="10">
      <t>オナ</t>
    </rPh>
    <phoneticPr fontId="3"/>
  </si>
  <si>
    <t>⑫　プルダウンで検定実施者を選択
　ｻｰﾄﾞﾊﾟｰﾃｨ様3名+橋本知代子</t>
    <rPh sb="8" eb="10">
      <t>ケンテイ</t>
    </rPh>
    <rPh sb="10" eb="12">
      <t>ジッシ</t>
    </rPh>
    <rPh sb="12" eb="13">
      <t>シャ</t>
    </rPh>
    <rPh sb="14" eb="16">
      <t>センタク</t>
    </rPh>
    <rPh sb="27" eb="28">
      <t>サマ</t>
    </rPh>
    <rPh sb="29" eb="30">
      <t>メイ</t>
    </rPh>
    <rPh sb="31" eb="33">
      <t>ハシモト</t>
    </rPh>
    <rPh sb="33" eb="36">
      <t>チヨコ</t>
    </rPh>
    <phoneticPr fontId="3"/>
  </si>
  <si>
    <t>②検定実施日</t>
    <phoneticPr fontId="1"/>
  </si>
  <si>
    <t>①品　名</t>
    <phoneticPr fontId="1"/>
  </si>
  <si>
    <t>※1.未入力項目があると印刷できないように設定</t>
    <rPh sb="3" eb="6">
      <t>ミニュウリョク</t>
    </rPh>
    <rPh sb="6" eb="8">
      <t>コウモク</t>
    </rPh>
    <rPh sb="12" eb="14">
      <t>インサツ</t>
    </rPh>
    <rPh sb="21" eb="23">
      <t>セッテイ</t>
    </rPh>
    <phoneticPr fontId="3"/>
  </si>
  <si>
    <t>※2.保存先は本日のフォルダを自動で作成し保存する</t>
    <rPh sb="3" eb="5">
      <t>ホゾン</t>
    </rPh>
    <rPh sb="5" eb="6">
      <t>サキ</t>
    </rPh>
    <rPh sb="7" eb="9">
      <t>ホンジツ</t>
    </rPh>
    <rPh sb="15" eb="17">
      <t>ジドウ</t>
    </rPh>
    <rPh sb="18" eb="20">
      <t>サクセイ</t>
    </rPh>
    <rPh sb="21" eb="23">
      <t>ホゾン</t>
    </rPh>
    <phoneticPr fontId="3"/>
  </si>
  <si>
    <t>※3.印刷と同時にテプラに情報を飛ばし印刷する</t>
    <rPh sb="3" eb="5">
      <t>インサツ</t>
    </rPh>
    <rPh sb="6" eb="8">
      <t>ドウジ</t>
    </rPh>
    <rPh sb="13" eb="15">
      <t>ジョウホウ</t>
    </rPh>
    <rPh sb="16" eb="17">
      <t>ト</t>
    </rPh>
    <rPh sb="19" eb="21">
      <t>インサツ</t>
    </rPh>
    <phoneticPr fontId="3"/>
  </si>
  <si>
    <t>μL</t>
    <phoneticPr fontId="3"/>
  </si>
  <si>
    <t>平均値</t>
    <rPh sb="0" eb="3">
      <t>ヘイキンチ</t>
    </rPh>
    <phoneticPr fontId="3"/>
  </si>
  <si>
    <t>変動係数（％）</t>
    <rPh sb="0" eb="4">
      <t>ヘンドウケイスウ</t>
    </rPh>
    <phoneticPr fontId="3"/>
  </si>
  <si>
    <t>試験回数
ｎ</t>
    <rPh sb="0" eb="2">
      <t>シケン</t>
    </rPh>
    <rPh sb="2" eb="4">
      <t>カイスウ</t>
    </rPh>
    <phoneticPr fontId="3"/>
  </si>
  <si>
    <t>⑥天秤識別番号</t>
    <rPh sb="1" eb="7">
      <t>テンビンシキベツバンゴウ</t>
    </rPh>
    <phoneticPr fontId="3"/>
  </si>
  <si>
    <t>⑨容量</t>
    <rPh sb="1" eb="3">
      <t>ヨウリョウ</t>
    </rPh>
    <phoneticPr fontId="3"/>
  </si>
  <si>
    <t>⑦検定最大容量</t>
    <rPh sb="1" eb="7">
      <t>ケンテイサイダイヨウリョウ</t>
    </rPh>
    <phoneticPr fontId="3"/>
  </si>
  <si>
    <t>⑦検定最小容量</t>
    <rPh sb="1" eb="3">
      <t>ケンテイ</t>
    </rPh>
    <rPh sb="3" eb="5">
      <t>サイショウ</t>
    </rPh>
    <rPh sb="5" eb="7">
      <t>ヨウリョウ</t>
    </rPh>
    <phoneticPr fontId="3"/>
  </si>
  <si>
    <t>⑧質量（ｍｇ）</t>
    <rPh sb="1" eb="3">
      <t>シツリョウ</t>
    </rPh>
    <phoneticPr fontId="3"/>
  </si>
  <si>
    <t>⑧質量（ｍｇ）</t>
    <phoneticPr fontId="3"/>
  </si>
  <si>
    <t>水温</t>
    <phoneticPr fontId="3"/>
  </si>
  <si>
    <t>μL/mg</t>
    <phoneticPr fontId="3"/>
  </si>
  <si>
    <t>ズレ</t>
    <phoneticPr fontId="3"/>
  </si>
  <si>
    <t>⑤Z Factor</t>
    <phoneticPr fontId="3"/>
  </si>
  <si>
    <t>検定記録書　　　（様式－１）</t>
    <rPh sb="0" eb="2">
      <t>ケンテイ</t>
    </rPh>
    <rPh sb="2" eb="5">
      <t>キロクショ</t>
    </rPh>
    <rPh sb="9" eb="11">
      <t>ヨウシキ</t>
    </rPh>
    <phoneticPr fontId="1"/>
  </si>
  <si>
    <t>⑨</t>
    <phoneticPr fontId="3"/>
  </si>
  <si>
    <t>⑩</t>
    <phoneticPr fontId="3"/>
  </si>
  <si>
    <t>■</t>
    <phoneticPr fontId="1"/>
  </si>
  <si>
    <t>分解交換</t>
    <rPh sb="0" eb="2">
      <t>ブンカイ</t>
    </rPh>
    <rPh sb="2" eb="4">
      <t>コウカン</t>
    </rPh>
    <phoneticPr fontId="1"/>
  </si>
  <si>
    <t>次回の試験</t>
    <rPh sb="0" eb="2">
      <t>ジカイ</t>
    </rPh>
    <rPh sb="3" eb="5">
      <t>シケン</t>
    </rPh>
    <phoneticPr fontId="1"/>
  </si>
  <si>
    <t>部品交換対象</t>
    <rPh sb="0" eb="4">
      <t>ブヒンコウカン</t>
    </rPh>
    <rPh sb="4" eb="6">
      <t>タイショウ</t>
    </rPh>
    <phoneticPr fontId="1"/>
  </si>
  <si>
    <t>②   年　　  月　　　日　　　　　　　　　</t>
    <phoneticPr fontId="1"/>
  </si>
  <si>
    <t>⑫検定実施者：　　　　　　　　　　　　　　　</t>
  </si>
  <si>
    <t>管理No</t>
    <rPh sb="0" eb="2">
      <t>カンリ</t>
    </rPh>
    <phoneticPr fontId="3"/>
  </si>
  <si>
    <t>部門コード</t>
    <rPh sb="0" eb="2">
      <t>ブモン</t>
    </rPh>
    <phoneticPr fontId="3"/>
  </si>
  <si>
    <t>最大値</t>
    <rPh sb="0" eb="3">
      <t>サイダイチ</t>
    </rPh>
    <phoneticPr fontId="3"/>
  </si>
  <si>
    <t>最小値</t>
    <rPh sb="0" eb="3">
      <t>サイショウチ</t>
    </rPh>
    <phoneticPr fontId="3"/>
  </si>
  <si>
    <t>分解対象可否</t>
    <rPh sb="0" eb="2">
      <t>ブンカイ</t>
    </rPh>
    <rPh sb="2" eb="4">
      <t>タイショウ</t>
    </rPh>
    <rPh sb="4" eb="6">
      <t>カヒ</t>
    </rPh>
    <phoneticPr fontId="3"/>
  </si>
  <si>
    <t>前回交換日</t>
    <rPh sb="0" eb="2">
      <t>ゼンカイ</t>
    </rPh>
    <rPh sb="2" eb="5">
      <t>コウカンビ</t>
    </rPh>
    <phoneticPr fontId="3"/>
  </si>
  <si>
    <t>ﾟC　（温度計NO.SAS-4032）</t>
    <phoneticPr fontId="3"/>
  </si>
  <si>
    <t>④</t>
    <phoneticPr fontId="3"/>
  </si>
  <si>
    <t>　　　</t>
    <phoneticPr fontId="1"/>
  </si>
  <si>
    <t>性能試験　　（　</t>
    <rPh sb="0" eb="2">
      <t>セイノウ</t>
    </rPh>
    <rPh sb="2" eb="4">
      <t>シケン</t>
    </rPh>
    <phoneticPr fontId="3"/>
  </si>
  <si>
    <t>）回目</t>
    <phoneticPr fontId="3"/>
  </si>
  <si>
    <t>ｊｔｐ1</t>
    <phoneticPr fontId="3"/>
  </si>
  <si>
    <t>ｊｔｐ2</t>
    <phoneticPr fontId="3"/>
  </si>
  <si>
    <t>ｊｔｐ3</t>
    <phoneticPr fontId="3"/>
  </si>
  <si>
    <t>橋本知代子</t>
    <rPh sb="0" eb="2">
      <t>ハシモト</t>
    </rPh>
    <rPh sb="2" eb="5">
      <t>チヨコ</t>
    </rPh>
    <phoneticPr fontId="3"/>
  </si>
  <si>
    <t>G5</t>
    <phoneticPr fontId="3"/>
  </si>
  <si>
    <t>G1</t>
    <phoneticPr fontId="3"/>
  </si>
  <si>
    <t>G2</t>
    <phoneticPr fontId="3"/>
  </si>
  <si>
    <t>G3</t>
    <phoneticPr fontId="3"/>
  </si>
  <si>
    <t>G4</t>
    <phoneticPr fontId="3"/>
  </si>
  <si>
    <t>CheckBox10</t>
  </si>
  <si>
    <t>CheckBox1</t>
    <phoneticPr fontId="3"/>
  </si>
  <si>
    <t>CheckBox2</t>
  </si>
  <si>
    <t>CheckBox3</t>
  </si>
  <si>
    <t>CheckBox4</t>
  </si>
  <si>
    <t>CheckBox5</t>
  </si>
  <si>
    <t>CheckBox6</t>
  </si>
  <si>
    <t>CheckBox7</t>
  </si>
  <si>
    <t>CheckBox8</t>
  </si>
  <si>
    <t>CheckBox9</t>
  </si>
  <si>
    <t>CheckBox11</t>
  </si>
  <si>
    <t>CheckBox12</t>
  </si>
  <si>
    <t>CheckBox13</t>
  </si>
  <si>
    <t>CheckBox14</t>
  </si>
  <si>
    <t>チェックボックス</t>
    <phoneticPr fontId="3"/>
  </si>
  <si>
    <t>Gr</t>
    <phoneticPr fontId="3"/>
  </si>
  <si>
    <t>チェック</t>
    <phoneticPr fontId="3"/>
  </si>
  <si>
    <t>○</t>
    <phoneticPr fontId="3"/>
  </si>
  <si>
    <t>×</t>
    <phoneticPr fontId="3"/>
  </si>
  <si>
    <t>検査</t>
    <rPh sb="0" eb="2">
      <t>ケンサ</t>
    </rPh>
    <phoneticPr fontId="3"/>
  </si>
  <si>
    <t>モレ&amp;ルール</t>
    <phoneticPr fontId="3"/>
  </si>
  <si>
    <t>今日</t>
    <rPh sb="0" eb="2">
      <t>キョウ</t>
    </rPh>
    <phoneticPr fontId="3"/>
  </si>
  <si>
    <t>交換頻度</t>
    <rPh sb="0" eb="2">
      <t>コウカン</t>
    </rPh>
    <rPh sb="2" eb="4">
      <t>ヒンド</t>
    </rPh>
    <phoneticPr fontId="3"/>
  </si>
  <si>
    <t>交換対象？</t>
    <rPh sb="0" eb="2">
      <t>コウカン</t>
    </rPh>
    <rPh sb="2" eb="4">
      <t>タイショウ</t>
    </rPh>
    <phoneticPr fontId="3"/>
  </si>
  <si>
    <t>項目</t>
    <rPh sb="0" eb="2">
      <t>コウモク</t>
    </rPh>
    <phoneticPr fontId="3"/>
  </si>
  <si>
    <t>内容</t>
    <rPh sb="0" eb="2">
      <t>ナイヨウ</t>
    </rPh>
    <phoneticPr fontId="3"/>
  </si>
  <si>
    <t>←テプラに張り付けて使用してください</t>
    <rPh sb="5" eb="6">
      <t>ハ</t>
    </rPh>
    <rPh sb="7" eb="8">
      <t>ツ</t>
    </rPh>
    <rPh sb="10" eb="12">
      <t>シヨウ</t>
    </rPh>
    <phoneticPr fontId="3"/>
  </si>
  <si>
    <t>メーカー・型式</t>
    <rPh sb="5" eb="7">
      <t>カタシキ</t>
    </rPh>
    <phoneticPr fontId="3"/>
  </si>
  <si>
    <t>1.管理No＆作成マクロで取得した情報</t>
    <rPh sb="2" eb="4">
      <t>カンリ</t>
    </rPh>
    <rPh sb="7" eb="9">
      <t>サクセイ</t>
    </rPh>
    <rPh sb="13" eb="15">
      <t>シュトク</t>
    </rPh>
    <rPh sb="17" eb="19">
      <t>ジョウホウ</t>
    </rPh>
    <phoneticPr fontId="3"/>
  </si>
  <si>
    <t>2.チェックボックス</t>
    <phoneticPr fontId="3"/>
  </si>
  <si>
    <t>No</t>
    <phoneticPr fontId="3"/>
  </si>
  <si>
    <t>メンバー</t>
    <phoneticPr fontId="3"/>
  </si>
  <si>
    <t>3.検査値チェック</t>
    <rPh sb="2" eb="5">
      <t>ケンサチ</t>
    </rPh>
    <phoneticPr fontId="3"/>
  </si>
  <si>
    <t>最大値</t>
    <rPh sb="0" eb="3">
      <t>サイダイチ</t>
    </rPh>
    <phoneticPr fontId="3"/>
  </si>
  <si>
    <t>最小値</t>
    <rPh sb="0" eb="3">
      <t>サイショウチ</t>
    </rPh>
    <phoneticPr fontId="3"/>
  </si>
  <si>
    <t>交換対象外</t>
    <phoneticPr fontId="3"/>
  </si>
  <si>
    <t>中外製薬工業株式会社
品質研究部浮間品質管理第1G</t>
    <phoneticPr fontId="3"/>
  </si>
  <si>
    <t>SAS-40391</t>
    <phoneticPr fontId="3"/>
  </si>
  <si>
    <t>SAS-4039</t>
    <phoneticPr fontId="3"/>
  </si>
  <si>
    <t>⑨</t>
    <phoneticPr fontId="3"/>
  </si>
  <si>
    <t>管理ＮＯ．</t>
    <rPh sb="0" eb="2">
      <t>カンリ</t>
    </rPh>
    <phoneticPr fontId="25"/>
  </si>
  <si>
    <t>部門</t>
    <rPh sb="0" eb="2">
      <t>ブモン</t>
    </rPh>
    <phoneticPr fontId="25"/>
  </si>
  <si>
    <t>メーカー</t>
    <phoneticPr fontId="25"/>
  </si>
  <si>
    <t>ｃｈ</t>
    <phoneticPr fontId="25"/>
  </si>
  <si>
    <t>型式</t>
    <rPh sb="0" eb="2">
      <t>カタシキ</t>
    </rPh>
    <phoneticPr fontId="25"/>
  </si>
  <si>
    <t>連続文注</t>
    <rPh sb="0" eb="2">
      <t>レンゾク</t>
    </rPh>
    <rPh sb="2" eb="3">
      <t>フミ</t>
    </rPh>
    <rPh sb="3" eb="4">
      <t>チュウ</t>
    </rPh>
    <phoneticPr fontId="25"/>
  </si>
  <si>
    <t>容量最大</t>
    <rPh sb="0" eb="2">
      <t>ヨウリョウ</t>
    </rPh>
    <rPh sb="2" eb="4">
      <t>サイダイ</t>
    </rPh>
    <phoneticPr fontId="25"/>
  </si>
  <si>
    <t>容量最小</t>
    <rPh sb="0" eb="2">
      <t>ヨウリョウ</t>
    </rPh>
    <rPh sb="2" eb="4">
      <t>サイショウ</t>
    </rPh>
    <phoneticPr fontId="25"/>
  </si>
  <si>
    <t>検定回数
1PM＝年1回２PM＝年２回</t>
    <rPh sb="0" eb="2">
      <t>ケンテイ</t>
    </rPh>
    <rPh sb="2" eb="4">
      <t>カイスウ</t>
    </rPh>
    <rPh sb="9" eb="10">
      <t>ネン</t>
    </rPh>
    <rPh sb="11" eb="12">
      <t>カイ</t>
    </rPh>
    <phoneticPr fontId="25"/>
  </si>
  <si>
    <t>検定月①</t>
    <rPh sb="0" eb="2">
      <t>ケンテイ</t>
    </rPh>
    <rPh sb="2" eb="3">
      <t>ガツ</t>
    </rPh>
    <phoneticPr fontId="25"/>
  </si>
  <si>
    <t>検定月②</t>
    <rPh sb="0" eb="2">
      <t>ケンテイ</t>
    </rPh>
    <rPh sb="2" eb="3">
      <t>ガツ</t>
    </rPh>
    <phoneticPr fontId="27"/>
  </si>
  <si>
    <t>分解</t>
    <rPh sb="0" eb="2">
      <t>ブンカイ</t>
    </rPh>
    <phoneticPr fontId="25"/>
  </si>
  <si>
    <t>分解可否</t>
    <rPh sb="0" eb="2">
      <t>ブンカイ</t>
    </rPh>
    <rPh sb="2" eb="4">
      <t>カヒ</t>
    </rPh>
    <phoneticPr fontId="25"/>
  </si>
  <si>
    <t>分解実施日
（ただし、前回交換実施日の日入力なしの場合は不要になる。要）</t>
    <rPh sb="0" eb="2">
      <t>ブンカイ</t>
    </rPh>
    <rPh sb="2" eb="4">
      <t>ジッシ</t>
    </rPh>
    <rPh sb="4" eb="5">
      <t>ビ</t>
    </rPh>
    <rPh sb="11" eb="13">
      <t>ゼンカイ</t>
    </rPh>
    <rPh sb="13" eb="15">
      <t>コウカン</t>
    </rPh>
    <rPh sb="15" eb="17">
      <t>ジッシ</t>
    </rPh>
    <rPh sb="17" eb="18">
      <t>ヒ</t>
    </rPh>
    <rPh sb="19" eb="20">
      <t>ヒ</t>
    </rPh>
    <rPh sb="20" eb="22">
      <t>ニュウリョク</t>
    </rPh>
    <rPh sb="25" eb="27">
      <t>バアイ</t>
    </rPh>
    <rPh sb="28" eb="30">
      <t>フヨウ</t>
    </rPh>
    <rPh sb="34" eb="35">
      <t>ヨウ</t>
    </rPh>
    <phoneticPr fontId="25"/>
  </si>
  <si>
    <t>model</t>
    <phoneticPr fontId="1"/>
  </si>
  <si>
    <t>AA01</t>
    <phoneticPr fontId="25"/>
  </si>
  <si>
    <t>ATRD</t>
  </si>
  <si>
    <t>RAININ</t>
  </si>
  <si>
    <t>12ch</t>
  </si>
  <si>
    <t>LTS</t>
  </si>
  <si>
    <t>20</t>
    <phoneticPr fontId="25"/>
  </si>
  <si>
    <t>5</t>
    <phoneticPr fontId="25"/>
  </si>
  <si>
    <t>2PM</t>
  </si>
  <si>
    <t>○</t>
    <phoneticPr fontId="1"/>
  </si>
  <si>
    <t>AA02</t>
  </si>
  <si>
    <t>8ch</t>
  </si>
  <si>
    <t>10</t>
    <phoneticPr fontId="25"/>
  </si>
  <si>
    <t>AA03</t>
  </si>
  <si>
    <t>1ch</t>
  </si>
  <si>
    <t>LTS20</t>
  </si>
  <si>
    <t>2</t>
    <phoneticPr fontId="25"/>
  </si>
  <si>
    <t>9</t>
    <phoneticPr fontId="25"/>
  </si>
  <si>
    <t>AA04</t>
  </si>
  <si>
    <t>eppendorf</t>
  </si>
  <si>
    <t>Multipipette M4</t>
    <phoneticPr fontId="1"/>
  </si>
  <si>
    <t>連続分注</t>
    <phoneticPr fontId="25"/>
  </si>
  <si>
    <t>10＊</t>
    <phoneticPr fontId="25"/>
  </si>
  <si>
    <t>AA05</t>
  </si>
  <si>
    <t>BTRD</t>
  </si>
  <si>
    <t>Eppendorf</t>
  </si>
  <si>
    <t>P10-100</t>
  </si>
  <si>
    <t>AA06</t>
    <phoneticPr fontId="1"/>
  </si>
  <si>
    <t>GILSON</t>
  </si>
  <si>
    <t>P20</t>
  </si>
  <si>
    <t>1PM</t>
  </si>
  <si>
    <t>×</t>
    <phoneticPr fontId="1"/>
  </si>
  <si>
    <t>AA07</t>
  </si>
  <si>
    <t>P1000</t>
  </si>
  <si>
    <t>AA08</t>
  </si>
  <si>
    <t>P-1000</t>
  </si>
  <si>
    <t>AA09</t>
  </si>
  <si>
    <t>FINN</t>
  </si>
  <si>
    <t>8連1500，電動</t>
  </si>
  <si>
    <t>AA10</t>
    <phoneticPr fontId="1"/>
  </si>
  <si>
    <t>8連300</t>
  </si>
  <si>
    <t>AA11</t>
  </si>
  <si>
    <t>FTRD</t>
  </si>
  <si>
    <t>EPPENDORF</t>
  </si>
  <si>
    <t>マイクロピペッター</t>
  </si>
  <si>
    <t>AA12</t>
  </si>
  <si>
    <t>Multipette plus</t>
  </si>
  <si>
    <t>連続分注器</t>
  </si>
  <si>
    <t>変更あり</t>
    <rPh sb="0" eb="2">
      <t>ヘンコウ</t>
    </rPh>
    <phoneticPr fontId="25"/>
  </si>
  <si>
    <t>a</t>
    <phoneticPr fontId="1"/>
  </si>
  <si>
    <t>\10月\部門名\月日</t>
    <rPh sb="3" eb="4">
      <t>ガツ</t>
    </rPh>
    <rPh sb="5" eb="7">
      <t>ブモン</t>
    </rPh>
    <rPh sb="7" eb="8">
      <t>メイ</t>
    </rPh>
    <rPh sb="9" eb="11">
      <t>ツキヒ</t>
    </rPh>
    <phoneticPr fontId="1"/>
  </si>
  <si>
    <t>AA08</t>
    <phoneticPr fontId="3"/>
  </si>
  <si>
    <t>GILSON P-1000</t>
    <phoneticPr fontId="3"/>
  </si>
  <si>
    <t>JTP3</t>
    <phoneticPr fontId="3"/>
  </si>
  <si>
    <t>1000μL - 200μL</t>
    <phoneticPr fontId="3"/>
  </si>
</sst>
</file>

<file path=xl/styles.xml><?xml version="1.0" encoding="utf-8"?>
<styleSheet xmlns="http://schemas.openxmlformats.org/spreadsheetml/2006/main">
  <numFmts count="10">
    <numFmt numFmtId="176" formatCode="&quot;¥&quot;#,##0_);[Red]\(&quot;¥&quot;#,##0\)"/>
    <numFmt numFmtId="177" formatCode="yyyy&quot;年&quot;m&quot;月&quot;;@"/>
    <numFmt numFmtId="178" formatCode="0_);[Red]\(0\)"/>
    <numFmt numFmtId="179" formatCode="[$-F800]dddd\,\ mmmm\ dd\,\ yyyy"/>
    <numFmt numFmtId="180" formatCode="yyyy/m/d;@"/>
    <numFmt numFmtId="181" formatCode="[DBNum1][$-411]General"/>
    <numFmt numFmtId="182" formatCode="0.00_);[Red]\(0.00\)"/>
    <numFmt numFmtId="183" formatCode="##.##"/>
    <numFmt numFmtId="184" formatCode="##"/>
    <numFmt numFmtId="185" formatCode="##.00"/>
  </numFmts>
  <fonts count="30">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1"/>
      <name val="ＭＳ Ｐゴシック"/>
      <family val="3"/>
      <charset val="128"/>
      <scheme val="minor"/>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b/>
      <sz val="14"/>
      <name val="ＭＳ Ｐゴシック"/>
      <family val="3"/>
      <charset val="128"/>
      <scheme val="minor"/>
    </font>
    <font>
      <b/>
      <sz val="20"/>
      <name val="ＭＳ Ｐゴシック"/>
      <family val="3"/>
      <charset val="128"/>
      <scheme val="minor"/>
    </font>
    <font>
      <sz val="12"/>
      <name val="ＭＳ Ｐゴシック"/>
      <family val="3"/>
      <charset val="128"/>
      <scheme val="minor"/>
    </font>
    <font>
      <sz val="8"/>
      <name val="ＭＳ Ｐゴシック"/>
      <family val="3"/>
      <charset val="128"/>
      <scheme val="minor"/>
    </font>
    <font>
      <sz val="9"/>
      <name val="ＭＳ Ｐゴシック"/>
      <family val="3"/>
      <charset val="128"/>
      <scheme val="minor"/>
    </font>
    <font>
      <sz val="10"/>
      <name val="ＭＳ Ｐゴシック"/>
      <family val="3"/>
      <charset val="128"/>
      <scheme val="minor"/>
    </font>
    <font>
      <b/>
      <sz val="12"/>
      <name val="ＭＳ Ｐゴシック"/>
      <family val="3"/>
      <charset val="128"/>
      <scheme val="minor"/>
    </font>
    <font>
      <sz val="9"/>
      <color indexed="22"/>
      <name val="ＭＳ Ｐゴシック"/>
      <family val="3"/>
      <charset val="128"/>
      <scheme val="minor"/>
    </font>
    <font>
      <sz val="40"/>
      <name val="ＭＳ Ｐゴシック"/>
      <family val="3"/>
      <charset val="128"/>
      <scheme val="minor"/>
    </font>
    <font>
      <sz val="14"/>
      <name val="ＭＳ Ｐゴシック"/>
      <family val="3"/>
      <charset val="128"/>
      <scheme val="minor"/>
    </font>
    <font>
      <sz val="7"/>
      <name val="ＭＳ Ｐゴシック"/>
      <family val="3"/>
      <charset val="128"/>
      <scheme val="minor"/>
    </font>
    <font>
      <sz val="20"/>
      <name val="ＭＳ Ｐゴシック"/>
      <family val="3"/>
      <charset val="128"/>
      <scheme val="minor"/>
    </font>
    <font>
      <b/>
      <sz val="12"/>
      <color theme="3"/>
      <name val="ＭＳ Ｐゴシック"/>
      <family val="3"/>
      <charset val="128"/>
      <scheme val="minor"/>
    </font>
    <font>
      <sz val="11"/>
      <color rgb="FF000000"/>
      <name val="ＭＳ Ｐゴシック"/>
      <family val="3"/>
      <charset val="128"/>
    </font>
    <font>
      <sz val="11"/>
      <name val="ＭＳ Ｐゴシック"/>
      <family val="3"/>
      <charset val="128"/>
    </font>
    <font>
      <b/>
      <sz val="10"/>
      <name val="Meiryo UI"/>
      <family val="3"/>
      <charset val="128"/>
    </font>
    <font>
      <sz val="6"/>
      <name val="GE Inspira Pitch"/>
      <family val="2"/>
      <charset val="128"/>
    </font>
    <font>
      <b/>
      <sz val="9"/>
      <name val="Meiryo UI"/>
      <family val="3"/>
      <charset val="128"/>
    </font>
    <font>
      <sz val="10"/>
      <name val="ＭＳ Ｐゴシック"/>
      <family val="3"/>
      <charset val="128"/>
    </font>
    <font>
      <sz val="10"/>
      <name val="Meiryo UI"/>
      <family val="3"/>
      <charset val="128"/>
    </font>
    <font>
      <b/>
      <sz val="10"/>
      <color rgb="FFFF0000"/>
      <name val="Meiryo UI"/>
      <family val="3"/>
      <charset val="128"/>
    </font>
  </fonts>
  <fills count="12">
    <fill>
      <patternFill patternType="none"/>
    </fill>
    <fill>
      <patternFill patternType="gray125"/>
    </fill>
    <fill>
      <patternFill patternType="solid">
        <fgColor indexed="9"/>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indexed="47"/>
        <bgColor indexed="64"/>
      </patternFill>
    </fill>
    <fill>
      <patternFill patternType="solid">
        <fgColor rgb="FFFFFF00"/>
        <bgColor indexed="64"/>
      </patternFill>
    </fill>
    <fill>
      <patternFill patternType="solid">
        <fgColor rgb="FF00FF00"/>
        <bgColor indexed="64"/>
      </patternFill>
    </fill>
    <fill>
      <patternFill patternType="solid">
        <fgColor theme="8" tint="0.79998168889431442"/>
        <bgColor indexed="64"/>
      </patternFill>
    </fill>
  </fills>
  <borders count="68">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bottom style="thin">
        <color indexed="64"/>
      </bottom>
      <diagonal/>
    </border>
  </borders>
  <cellStyleXfs count="3">
    <xf numFmtId="0" fontId="0" fillId="0" borderId="0"/>
    <xf numFmtId="0" fontId="2" fillId="0" borderId="0"/>
    <xf numFmtId="176" fontId="23" fillId="0" borderId="0" applyFont="0" applyFill="0" applyBorder="0" applyAlignment="0" applyProtection="0">
      <alignment vertical="center"/>
    </xf>
  </cellStyleXfs>
  <cellXfs count="382">
    <xf numFmtId="0" fontId="0" fillId="0" borderId="0" xfId="0"/>
    <xf numFmtId="0" fontId="5" fillId="2" borderId="0" xfId="0" applyFont="1" applyFill="1"/>
    <xf numFmtId="0" fontId="5" fillId="0" borderId="0" xfId="0" applyFont="1" applyFill="1" applyBorder="1"/>
    <xf numFmtId="0" fontId="11" fillId="2" borderId="4" xfId="0" applyFont="1" applyFill="1" applyBorder="1"/>
    <xf numFmtId="0" fontId="5" fillId="2" borderId="4" xfId="0" applyFont="1" applyFill="1" applyBorder="1"/>
    <xf numFmtId="0" fontId="11" fillId="2" borderId="8" xfId="0" applyFont="1" applyFill="1" applyBorder="1"/>
    <xf numFmtId="0" fontId="5" fillId="2" borderId="1" xfId="0" applyFont="1" applyFill="1" applyBorder="1"/>
    <xf numFmtId="0" fontId="11" fillId="2" borderId="9" xfId="0" applyFont="1" applyFill="1" applyBorder="1"/>
    <xf numFmtId="0" fontId="11" fillId="2" borderId="1" xfId="0" applyFont="1" applyFill="1" applyBorder="1"/>
    <xf numFmtId="0" fontId="5" fillId="2" borderId="11" xfId="0" applyFont="1" applyFill="1" applyBorder="1"/>
    <xf numFmtId="0" fontId="11" fillId="2" borderId="0" xfId="0" applyFont="1" applyFill="1" applyBorder="1"/>
    <xf numFmtId="0" fontId="11" fillId="2" borderId="11" xfId="0" applyFont="1" applyFill="1" applyBorder="1"/>
    <xf numFmtId="0" fontId="5" fillId="0" borderId="0" xfId="0" applyFont="1" applyFill="1" applyBorder="1" applyAlignment="1">
      <alignment vertical="center"/>
    </xf>
    <xf numFmtId="0" fontId="14" fillId="2" borderId="0" xfId="0" applyFont="1" applyFill="1"/>
    <xf numFmtId="0" fontId="14" fillId="2" borderId="0" xfId="0" applyFont="1" applyFill="1" applyBorder="1"/>
    <xf numFmtId="0" fontId="5" fillId="2" borderId="0" xfId="0" applyFont="1" applyFill="1" applyBorder="1"/>
    <xf numFmtId="0" fontId="5" fillId="2" borderId="8" xfId="0" applyFont="1" applyFill="1" applyBorder="1"/>
    <xf numFmtId="0" fontId="11" fillId="0" borderId="0" xfId="0" applyFont="1"/>
    <xf numFmtId="0" fontId="5" fillId="0" borderId="0" xfId="0" applyFont="1" applyBorder="1" applyAlignment="1"/>
    <xf numFmtId="0" fontId="11" fillId="2" borderId="16" xfId="0" applyFont="1" applyFill="1" applyBorder="1"/>
    <xf numFmtId="0" fontId="12" fillId="2" borderId="4" xfId="0" applyFont="1" applyFill="1" applyBorder="1"/>
    <xf numFmtId="0" fontId="13" fillId="2" borderId="4" xfId="0" applyFont="1" applyFill="1" applyBorder="1"/>
    <xf numFmtId="0" fontId="13" fillId="2" borderId="5" xfId="0" applyFont="1" applyFill="1" applyBorder="1"/>
    <xf numFmtId="0" fontId="11" fillId="2" borderId="12" xfId="0" applyFont="1" applyFill="1" applyBorder="1"/>
    <xf numFmtId="0" fontId="5" fillId="2" borderId="17" xfId="0" applyFont="1" applyFill="1" applyBorder="1"/>
    <xf numFmtId="0" fontId="11" fillId="2" borderId="13" xfId="0" applyFont="1" applyFill="1" applyBorder="1"/>
    <xf numFmtId="0" fontId="11" fillId="2" borderId="17" xfId="0" applyFont="1" applyFill="1" applyBorder="1"/>
    <xf numFmtId="0" fontId="5" fillId="0" borderId="0" xfId="0" applyFont="1" applyBorder="1" applyAlignment="1">
      <alignment horizontal="left" vertical="center"/>
    </xf>
    <xf numFmtId="0" fontId="5" fillId="2" borderId="0" xfId="0" applyFont="1" applyFill="1" applyBorder="1" applyAlignment="1"/>
    <xf numFmtId="0" fontId="11" fillId="0" borderId="0" xfId="0" applyFont="1" applyBorder="1"/>
    <xf numFmtId="0" fontId="5" fillId="0" borderId="0" xfId="0" applyFont="1" applyBorder="1" applyAlignment="1">
      <alignment horizontal="left" vertical="top" indent="2"/>
    </xf>
    <xf numFmtId="0" fontId="5" fillId="0" borderId="7" xfId="0" applyFont="1" applyBorder="1" applyAlignment="1">
      <alignment horizontal="left" vertical="top" indent="2"/>
    </xf>
    <xf numFmtId="0" fontId="5" fillId="0" borderId="0" xfId="0" quotePrefix="1" applyFont="1" applyBorder="1" applyAlignment="1">
      <alignment horizontal="left" vertical="top" indent="2"/>
    </xf>
    <xf numFmtId="0" fontId="5" fillId="0" borderId="0" xfId="0" applyFont="1" applyBorder="1" applyAlignment="1">
      <alignment horizontal="center" vertical="center" textRotation="90"/>
    </xf>
    <xf numFmtId="0" fontId="5" fillId="0" borderId="18" xfId="0" applyFont="1" applyBorder="1" applyAlignment="1">
      <alignment horizontal="center" vertical="center" wrapText="1"/>
    </xf>
    <xf numFmtId="0" fontId="5" fillId="0" borderId="20" xfId="0" applyFont="1" applyBorder="1" applyAlignment="1">
      <alignment horizontal="center" vertical="center" wrapText="1"/>
    </xf>
    <xf numFmtId="0" fontId="11" fillId="0" borderId="0" xfId="0" applyFont="1" applyAlignment="1">
      <alignment vertical="center" wrapText="1"/>
    </xf>
    <xf numFmtId="0" fontId="5" fillId="0" borderId="8" xfId="0" applyFont="1" applyBorder="1" applyAlignment="1">
      <alignment vertical="top"/>
    </xf>
    <xf numFmtId="0" fontId="5" fillId="0" borderId="0" xfId="0" applyFont="1" applyBorder="1" applyAlignment="1">
      <alignment vertical="top"/>
    </xf>
    <xf numFmtId="0" fontId="5" fillId="0" borderId="7" xfId="0" applyFont="1" applyBorder="1" applyAlignment="1">
      <alignment vertical="top"/>
    </xf>
    <xf numFmtId="0" fontId="5" fillId="0" borderId="0" xfId="0" applyFont="1"/>
    <xf numFmtId="0" fontId="5" fillId="0" borderId="0" xfId="0" applyFont="1" applyBorder="1"/>
    <xf numFmtId="0" fontId="18" fillId="0" borderId="18" xfId="0" applyFont="1" applyBorder="1" applyAlignment="1">
      <alignment vertical="center"/>
    </xf>
    <xf numFmtId="0" fontId="18" fillId="0" borderId="19" xfId="0" applyFont="1" applyBorder="1" applyAlignment="1">
      <alignment vertical="center"/>
    </xf>
    <xf numFmtId="0" fontId="18" fillId="0" borderId="20" xfId="0" applyFont="1" applyBorder="1" applyAlignment="1">
      <alignment vertical="center"/>
    </xf>
    <xf numFmtId="0" fontId="5" fillId="0" borderId="8" xfId="0" applyFont="1" applyBorder="1" applyAlignment="1"/>
    <xf numFmtId="0" fontId="4" fillId="0" borderId="8" xfId="0" applyFont="1" applyFill="1" applyBorder="1" applyAlignment="1">
      <alignment vertical="center" textRotation="255"/>
    </xf>
    <xf numFmtId="0" fontId="11" fillId="0" borderId="0" xfId="0" applyFont="1" applyBorder="1" applyAlignment="1"/>
    <xf numFmtId="0" fontId="18" fillId="0" borderId="0" xfId="0" applyFont="1"/>
    <xf numFmtId="0" fontId="6" fillId="0" borderId="0" xfId="0" applyFont="1"/>
    <xf numFmtId="0" fontId="6" fillId="0" borderId="0" xfId="0" applyFont="1" applyFill="1" applyBorder="1"/>
    <xf numFmtId="0" fontId="6" fillId="0" borderId="0" xfId="0" applyFont="1" applyBorder="1" applyAlignment="1"/>
    <xf numFmtId="0" fontId="6" fillId="0" borderId="0" xfId="0" applyFont="1" applyAlignment="1">
      <alignment vertical="center"/>
    </xf>
    <xf numFmtId="0" fontId="8" fillId="0" borderId="0" xfId="0" applyFont="1" applyBorder="1" applyAlignment="1">
      <alignment horizontal="left" vertical="top" indent="2"/>
    </xf>
    <xf numFmtId="0" fontId="8" fillId="0" borderId="0" xfId="0" applyFont="1" applyBorder="1" applyAlignment="1">
      <alignment horizontal="left"/>
    </xf>
    <xf numFmtId="0" fontId="20" fillId="0" borderId="0" xfId="0" applyFont="1" applyBorder="1" applyAlignment="1">
      <alignment horizontal="left" vertical="top"/>
    </xf>
    <xf numFmtId="0" fontId="18" fillId="3" borderId="0" xfId="0" applyFont="1" applyFill="1"/>
    <xf numFmtId="0" fontId="11" fillId="3" borderId="0" xfId="0" applyFont="1" applyFill="1"/>
    <xf numFmtId="0" fontId="10" fillId="5" borderId="0" xfId="0" applyFont="1" applyFill="1" applyBorder="1" applyAlignment="1">
      <alignment horizontal="left" vertical="top"/>
    </xf>
    <xf numFmtId="0" fontId="11" fillId="5" borderId="0" xfId="0" applyFont="1" applyFill="1"/>
    <xf numFmtId="0" fontId="11" fillId="0" borderId="3" xfId="0" applyFont="1" applyBorder="1"/>
    <xf numFmtId="0" fontId="11" fillId="0" borderId="4" xfId="0" applyFont="1" applyBorder="1"/>
    <xf numFmtId="0" fontId="11" fillId="0" borderId="5" xfId="0" applyFont="1" applyBorder="1"/>
    <xf numFmtId="0" fontId="5" fillId="0" borderId="7" xfId="0" applyFont="1" applyBorder="1" applyAlignment="1"/>
    <xf numFmtId="0" fontId="4" fillId="0" borderId="12" xfId="0" applyFont="1" applyFill="1" applyBorder="1" applyAlignment="1">
      <alignment vertical="center" textRotation="255"/>
    </xf>
    <xf numFmtId="0" fontId="5" fillId="0" borderId="13" xfId="0" applyFont="1" applyBorder="1" applyAlignment="1">
      <alignment horizontal="left" vertical="top" indent="2"/>
    </xf>
    <xf numFmtId="0" fontId="5" fillId="0" borderId="14" xfId="0" applyFont="1" applyBorder="1" applyAlignment="1">
      <alignment horizontal="left" vertical="top" indent="2"/>
    </xf>
    <xf numFmtId="0" fontId="16" fillId="0" borderId="13" xfId="1" applyNumberFormat="1" applyFont="1" applyFill="1" applyBorder="1" applyAlignment="1" applyProtection="1">
      <alignment horizontal="center"/>
    </xf>
    <xf numFmtId="0" fontId="13" fillId="0" borderId="13" xfId="1" applyNumberFormat="1" applyFont="1" applyFill="1" applyBorder="1" applyAlignment="1" applyProtection="1">
      <alignment horizontal="center"/>
    </xf>
    <xf numFmtId="0" fontId="13" fillId="0" borderId="13" xfId="1" applyNumberFormat="1" applyFont="1" applyBorder="1" applyAlignment="1" applyProtection="1">
      <alignment horizontal="center"/>
    </xf>
    <xf numFmtId="0" fontId="18" fillId="0" borderId="4" xfId="0" applyFont="1" applyBorder="1" applyAlignment="1">
      <alignment vertical="center"/>
    </xf>
    <xf numFmtId="0" fontId="11" fillId="0" borderId="18" xfId="0" applyFont="1" applyBorder="1" applyAlignment="1">
      <alignment vertical="center"/>
    </xf>
    <xf numFmtId="0" fontId="11" fillId="0" borderId="19" xfId="0" applyFont="1" applyBorder="1" applyAlignment="1">
      <alignment vertical="center"/>
    </xf>
    <xf numFmtId="0" fontId="18" fillId="0" borderId="24" xfId="0" applyFont="1" applyBorder="1" applyAlignment="1">
      <alignment vertical="center"/>
    </xf>
    <xf numFmtId="0" fontId="21" fillId="4" borderId="29" xfId="0" applyFont="1" applyFill="1" applyBorder="1"/>
    <xf numFmtId="14" fontId="11" fillId="0" borderId="29" xfId="0" applyNumberFormat="1" applyFont="1" applyBorder="1"/>
    <xf numFmtId="0" fontId="11" fillId="0" borderId="29" xfId="0" applyFont="1" applyFill="1" applyBorder="1"/>
    <xf numFmtId="0" fontId="11" fillId="0" borderId="0" xfId="0" applyFont="1" applyFill="1"/>
    <xf numFmtId="0" fontId="11" fillId="0" borderId="0" xfId="0" applyFont="1" applyFill="1" applyBorder="1"/>
    <xf numFmtId="0" fontId="11" fillId="0" borderId="29" xfId="0" applyFont="1" applyBorder="1"/>
    <xf numFmtId="14" fontId="11" fillId="0" borderId="0" xfId="0" applyNumberFormat="1" applyFont="1"/>
    <xf numFmtId="177" fontId="11" fillId="0" borderId="29" xfId="0" applyNumberFormat="1" applyFont="1" applyBorder="1"/>
    <xf numFmtId="0" fontId="11" fillId="0" borderId="29" xfId="0" applyFont="1" applyBorder="1" applyAlignment="1">
      <alignment horizontal="right"/>
    </xf>
    <xf numFmtId="0" fontId="5" fillId="0" borderId="8" xfId="0" applyFont="1" applyFill="1" applyBorder="1"/>
    <xf numFmtId="0" fontId="21" fillId="0" borderId="0" xfId="0" applyFont="1" applyFill="1" applyBorder="1"/>
    <xf numFmtId="14" fontId="11" fillId="0" borderId="0" xfId="0" applyNumberFormat="1" applyFont="1" applyFill="1" applyBorder="1"/>
    <xf numFmtId="177" fontId="11" fillId="0" borderId="0" xfId="0" applyNumberFormat="1" applyFont="1" applyFill="1" applyBorder="1"/>
    <xf numFmtId="0" fontId="11" fillId="0" borderId="0" xfId="0" applyFont="1" applyFill="1" applyBorder="1" applyAlignment="1">
      <alignment horizontal="right"/>
    </xf>
    <xf numFmtId="0" fontId="5" fillId="0" borderId="0" xfId="0" applyFont="1" applyFill="1" applyBorder="1" applyAlignment="1">
      <alignment horizontal="center" vertical="center" textRotation="90"/>
    </xf>
    <xf numFmtId="0" fontId="5" fillId="0" borderId="0" xfId="0" applyFont="1" applyFill="1" applyBorder="1" applyAlignment="1"/>
    <xf numFmtId="0" fontId="11" fillId="0" borderId="0" xfId="0" applyFont="1" applyFill="1" applyAlignment="1">
      <alignment vertical="center" wrapText="1"/>
    </xf>
    <xf numFmtId="0" fontId="18" fillId="0" borderId="36" xfId="0" applyFont="1" applyBorder="1" applyAlignment="1">
      <alignment vertical="center"/>
    </xf>
    <xf numFmtId="0" fontId="18" fillId="0" borderId="13" xfId="0" applyFont="1" applyBorder="1" applyAlignment="1">
      <alignment vertical="center"/>
    </xf>
    <xf numFmtId="0" fontId="18" fillId="0" borderId="14" xfId="0" applyFont="1" applyBorder="1" applyAlignment="1">
      <alignment vertical="center"/>
    </xf>
    <xf numFmtId="0" fontId="11" fillId="0" borderId="0" xfId="0" applyFont="1" applyAlignment="1"/>
    <xf numFmtId="0" fontId="5" fillId="2" borderId="7" xfId="0" applyFont="1" applyFill="1" applyBorder="1"/>
    <xf numFmtId="0" fontId="11" fillId="0" borderId="7" xfId="0" applyFont="1" applyBorder="1"/>
    <xf numFmtId="0" fontId="11" fillId="2" borderId="59" xfId="0" applyFont="1" applyFill="1" applyBorder="1"/>
    <xf numFmtId="0" fontId="6" fillId="0" borderId="8" xfId="0" applyFont="1" applyBorder="1"/>
    <xf numFmtId="0" fontId="11" fillId="0" borderId="10" xfId="0" applyFont="1" applyBorder="1" applyAlignment="1">
      <alignment vertical="center" wrapText="1"/>
    </xf>
    <xf numFmtId="0" fontId="11" fillId="0" borderId="10" xfId="0" applyFont="1" applyBorder="1" applyAlignment="1">
      <alignment vertical="center"/>
    </xf>
    <xf numFmtId="0" fontId="5" fillId="0" borderId="19" xfId="0" applyFont="1" applyBorder="1" applyAlignment="1">
      <alignment horizontal="center" vertical="center" wrapText="1"/>
    </xf>
    <xf numFmtId="0" fontId="5" fillId="0" borderId="0" xfId="0" applyFont="1" applyBorder="1" applyAlignment="1">
      <alignment vertical="center"/>
    </xf>
    <xf numFmtId="0" fontId="11" fillId="0" borderId="29" xfId="0" applyFont="1" applyFill="1" applyBorder="1" applyAlignment="1">
      <alignment horizontal="center"/>
    </xf>
    <xf numFmtId="0" fontId="11" fillId="0" borderId="49" xfId="0" applyFont="1" applyFill="1" applyBorder="1" applyAlignment="1"/>
    <xf numFmtId="0" fontId="11" fillId="0" borderId="50" xfId="0" applyFont="1" applyFill="1" applyBorder="1" applyAlignment="1"/>
    <xf numFmtId="0" fontId="11" fillId="0" borderId="37" xfId="0" applyFont="1" applyFill="1" applyBorder="1" applyAlignment="1"/>
    <xf numFmtId="0" fontId="11" fillId="0" borderId="0" xfId="0" applyNumberFormat="1" applyFont="1" applyBorder="1" applyAlignment="1"/>
    <xf numFmtId="178" fontId="5" fillId="0" borderId="0" xfId="0" applyNumberFormat="1" applyFont="1" applyBorder="1" applyAlignment="1"/>
    <xf numFmtId="0" fontId="11" fillId="0" borderId="29" xfId="0" applyFont="1" applyBorder="1" applyAlignment="1">
      <alignment vertical="center" wrapText="1"/>
    </xf>
    <xf numFmtId="0" fontId="11" fillId="8" borderId="0" xfId="0" applyNumberFormat="1" applyFont="1" applyFill="1"/>
    <xf numFmtId="0" fontId="11" fillId="8" borderId="29" xfId="0" applyFont="1" applyFill="1" applyBorder="1"/>
    <xf numFmtId="0" fontId="5" fillId="9" borderId="0" xfId="0" applyFont="1" applyFill="1"/>
    <xf numFmtId="0" fontId="24" fillId="10" borderId="39" xfId="0" applyFont="1" applyFill="1" applyBorder="1" applyAlignment="1">
      <alignment horizontal="center" vertical="center" wrapText="1"/>
    </xf>
    <xf numFmtId="0" fontId="24" fillId="10" borderId="39" xfId="0" applyNumberFormat="1" applyFont="1" applyFill="1" applyBorder="1" applyAlignment="1">
      <alignment horizontal="center" vertical="center" wrapText="1"/>
    </xf>
    <xf numFmtId="0" fontId="24" fillId="5" borderId="39" xfId="0" applyNumberFormat="1" applyFont="1" applyFill="1" applyBorder="1" applyAlignment="1">
      <alignment horizontal="center" vertical="center" wrapText="1"/>
    </xf>
    <xf numFmtId="0" fontId="26" fillId="5" borderId="39" xfId="0" applyNumberFormat="1" applyFont="1" applyFill="1" applyBorder="1" applyAlignment="1">
      <alignment horizontal="center" vertical="center" wrapText="1"/>
    </xf>
    <xf numFmtId="0" fontId="28" fillId="10" borderId="27" xfId="0" applyNumberFormat="1" applyFont="1" applyFill="1" applyBorder="1" applyAlignment="1">
      <alignment horizontal="center" vertical="center"/>
    </xf>
    <xf numFmtId="0" fontId="28" fillId="5" borderId="27" xfId="0" applyNumberFormat="1" applyFont="1" applyFill="1" applyBorder="1" applyAlignment="1">
      <alignment horizontal="center" vertical="center"/>
    </xf>
    <xf numFmtId="0" fontId="28" fillId="5" borderId="29" xfId="0" applyNumberFormat="1" applyFont="1" applyFill="1" applyBorder="1" applyAlignment="1">
      <alignment horizontal="center" vertical="center" wrapText="1"/>
    </xf>
    <xf numFmtId="0" fontId="28" fillId="0" borderId="0" xfId="0" applyNumberFormat="1" applyFont="1" applyAlignment="1">
      <alignment horizontal="center" vertical="center"/>
    </xf>
    <xf numFmtId="0" fontId="28" fillId="0" borderId="49" xfId="0" applyFont="1" applyFill="1" applyBorder="1" applyAlignment="1" applyProtection="1">
      <alignment horizontal="center" vertical="center"/>
    </xf>
    <xf numFmtId="0" fontId="28" fillId="0" borderId="49" xfId="0" applyFont="1" applyFill="1" applyBorder="1" applyAlignment="1" applyProtection="1">
      <alignment horizontal="left" vertical="center"/>
    </xf>
    <xf numFmtId="49" fontId="28" fillId="0" borderId="49" xfId="0" applyNumberFormat="1" applyFont="1" applyFill="1" applyBorder="1" applyAlignment="1" applyProtection="1">
      <alignment horizontal="left" vertical="center"/>
    </xf>
    <xf numFmtId="0" fontId="28" fillId="0" borderId="49" xfId="0" applyFont="1" applyFill="1" applyBorder="1" applyAlignment="1" applyProtection="1">
      <alignment horizontal="center" vertical="center" shrinkToFit="1"/>
    </xf>
    <xf numFmtId="0" fontId="28" fillId="0" borderId="49" xfId="0" quotePrefix="1" applyFont="1" applyFill="1" applyBorder="1" applyAlignment="1" applyProtection="1">
      <alignment horizontal="center" vertical="center" shrinkToFit="1"/>
    </xf>
    <xf numFmtId="0" fontId="28" fillId="0" borderId="40" xfId="0" quotePrefix="1" applyFont="1" applyFill="1" applyBorder="1" applyAlignment="1" applyProtection="1">
      <alignment horizontal="center" vertical="center" shrinkToFit="1"/>
    </xf>
    <xf numFmtId="0" fontId="29" fillId="0" borderId="62" xfId="0" quotePrefix="1" applyFont="1" applyFill="1" applyBorder="1" applyAlignment="1">
      <alignment horizontal="center" vertical="center" shrinkToFit="1"/>
    </xf>
    <xf numFmtId="14" fontId="28" fillId="11" borderId="63" xfId="0" applyNumberFormat="1" applyFont="1" applyFill="1" applyBorder="1" applyAlignment="1">
      <alignment vertical="center"/>
    </xf>
    <xf numFmtId="0" fontId="28" fillId="0" borderId="0" xfId="0" applyFont="1" applyFill="1" applyAlignment="1">
      <alignment vertical="center"/>
    </xf>
    <xf numFmtId="0" fontId="28" fillId="0" borderId="64" xfId="0" applyFont="1" applyFill="1" applyBorder="1" applyAlignment="1" applyProtection="1">
      <alignment horizontal="center" vertical="center"/>
    </xf>
    <xf numFmtId="0" fontId="28" fillId="0" borderId="64" xfId="0" applyFont="1" applyFill="1" applyBorder="1" applyAlignment="1" applyProtection="1">
      <alignment horizontal="left" vertical="center"/>
    </xf>
    <xf numFmtId="49" fontId="28" fillId="0" borderId="64" xfId="0" applyNumberFormat="1" applyFont="1" applyFill="1" applyBorder="1" applyAlignment="1" applyProtection="1">
      <alignment horizontal="left" vertical="center"/>
    </xf>
    <xf numFmtId="0" fontId="28" fillId="0" borderId="64" xfId="0" applyFont="1" applyFill="1" applyBorder="1" applyAlignment="1" applyProtection="1">
      <alignment horizontal="center" vertical="center" shrinkToFit="1"/>
    </xf>
    <xf numFmtId="49" fontId="28" fillId="0" borderId="64" xfId="0" applyNumberFormat="1" applyFont="1" applyFill="1" applyBorder="1" applyAlignment="1" applyProtection="1">
      <alignment horizontal="center" vertical="center" shrinkToFit="1"/>
    </xf>
    <xf numFmtId="49" fontId="28" fillId="0" borderId="62" xfId="0" applyNumberFormat="1" applyFont="1" applyFill="1" applyBorder="1" applyAlignment="1" applyProtection="1">
      <alignment horizontal="center" vertical="center" shrinkToFit="1"/>
    </xf>
    <xf numFmtId="0" fontId="28" fillId="0" borderId="62" xfId="0" quotePrefix="1" applyFont="1" applyFill="1" applyBorder="1" applyAlignment="1" applyProtection="1">
      <alignment horizontal="center" vertical="center" shrinkToFit="1"/>
    </xf>
    <xf numFmtId="0" fontId="28" fillId="0" borderId="64" xfId="0" applyNumberFormat="1" applyFont="1" applyFill="1" applyBorder="1" applyAlignment="1">
      <alignment horizontal="center" vertical="center"/>
    </xf>
    <xf numFmtId="0" fontId="28" fillId="0" borderId="64" xfId="0" applyNumberFormat="1" applyFont="1" applyFill="1" applyBorder="1" applyAlignment="1">
      <alignment horizontal="left" vertical="center"/>
    </xf>
    <xf numFmtId="0" fontId="28" fillId="0" borderId="64" xfId="0" applyNumberFormat="1" applyFont="1" applyFill="1" applyBorder="1" applyAlignment="1">
      <alignment horizontal="center" vertical="center" shrinkToFit="1"/>
    </xf>
    <xf numFmtId="0" fontId="28" fillId="0" borderId="64" xfId="0" quotePrefix="1" applyNumberFormat="1" applyFont="1" applyFill="1" applyBorder="1" applyAlignment="1">
      <alignment horizontal="center" vertical="center" shrinkToFit="1"/>
    </xf>
    <xf numFmtId="0" fontId="28" fillId="0" borderId="62" xfId="0" quotePrefix="1" applyNumberFormat="1" applyFont="1" applyFill="1" applyBorder="1" applyAlignment="1">
      <alignment horizontal="center" vertical="center" shrinkToFit="1"/>
    </xf>
    <xf numFmtId="0" fontId="28" fillId="0" borderId="0" xfId="0" applyNumberFormat="1" applyFont="1" applyFill="1" applyAlignment="1">
      <alignment vertical="center"/>
    </xf>
    <xf numFmtId="0" fontId="28" fillId="0" borderId="64" xfId="0" applyFont="1" applyFill="1" applyBorder="1" applyAlignment="1">
      <alignment horizontal="center" vertical="center"/>
    </xf>
    <xf numFmtId="0" fontId="28" fillId="0" borderId="64" xfId="0" applyFont="1" applyFill="1" applyBorder="1" applyAlignment="1">
      <alignment horizontal="left" vertical="center"/>
    </xf>
    <xf numFmtId="0" fontId="28" fillId="0" borderId="64" xfId="0" applyFont="1" applyFill="1" applyBorder="1" applyAlignment="1">
      <alignment horizontal="center" vertical="center" shrinkToFit="1"/>
    </xf>
    <xf numFmtId="0" fontId="28" fillId="0" borderId="64" xfId="0" quotePrefix="1" applyFont="1" applyFill="1" applyBorder="1" applyAlignment="1">
      <alignment horizontal="center" vertical="center" shrinkToFit="1"/>
    </xf>
    <xf numFmtId="0" fontId="28" fillId="0" borderId="62" xfId="0" quotePrefix="1" applyFont="1" applyFill="1" applyBorder="1" applyAlignment="1">
      <alignment horizontal="center" vertical="center" shrinkToFit="1"/>
    </xf>
    <xf numFmtId="178" fontId="28" fillId="0" borderId="64" xfId="0" quotePrefix="1" applyNumberFormat="1" applyFont="1" applyFill="1" applyBorder="1" applyAlignment="1">
      <alignment horizontal="center" vertical="center" shrinkToFit="1"/>
    </xf>
    <xf numFmtId="178" fontId="28" fillId="0" borderId="62" xfId="0" quotePrefix="1" applyNumberFormat="1" applyFont="1" applyFill="1" applyBorder="1" applyAlignment="1">
      <alignment horizontal="center" vertical="center" shrinkToFit="1"/>
    </xf>
    <xf numFmtId="49" fontId="28" fillId="0" borderId="64" xfId="0" applyNumberFormat="1" applyFont="1" applyFill="1" applyBorder="1" applyAlignment="1">
      <alignment horizontal="left" vertical="center"/>
    </xf>
    <xf numFmtId="0" fontId="28" fillId="0" borderId="62" xfId="0" applyFont="1" applyFill="1" applyBorder="1" applyAlignment="1">
      <alignment horizontal="center" vertical="center" shrinkToFit="1"/>
    </xf>
    <xf numFmtId="0" fontId="28" fillId="0" borderId="64" xfId="0" applyFont="1" applyFill="1" applyBorder="1" applyAlignment="1" applyProtection="1">
      <alignment horizontal="center" vertical="center"/>
      <protection locked="0"/>
    </xf>
    <xf numFmtId="0" fontId="28" fillId="0" borderId="64" xfId="0" applyFont="1" applyFill="1" applyBorder="1" applyAlignment="1" applyProtection="1">
      <alignment horizontal="left" vertical="center"/>
      <protection locked="0"/>
    </xf>
    <xf numFmtId="0" fontId="28" fillId="0" borderId="64" xfId="0" applyFont="1" applyFill="1" applyBorder="1" applyAlignment="1" applyProtection="1">
      <alignment horizontal="center" vertical="center" shrinkToFit="1"/>
      <protection locked="0"/>
    </xf>
    <xf numFmtId="0" fontId="28" fillId="0" borderId="63" xfId="0" applyFont="1" applyFill="1" applyBorder="1" applyAlignment="1" applyProtection="1">
      <alignment horizontal="center" vertical="center" shrinkToFit="1"/>
      <protection locked="0"/>
    </xf>
    <xf numFmtId="0" fontId="28" fillId="0" borderId="63" xfId="0" quotePrefix="1" applyFont="1" applyFill="1" applyBorder="1" applyAlignment="1" applyProtection="1">
      <alignment horizontal="center" vertical="center" shrinkToFit="1"/>
      <protection locked="0"/>
    </xf>
    <xf numFmtId="0" fontId="28" fillId="0" borderId="65" xfId="0" quotePrefix="1" applyFont="1" applyFill="1" applyBorder="1" applyAlignment="1" applyProtection="1">
      <alignment horizontal="center" vertical="center" shrinkToFit="1"/>
      <protection locked="0"/>
    </xf>
    <xf numFmtId="0" fontId="28" fillId="0" borderId="0" xfId="0" applyNumberFormat="1" applyFont="1" applyFill="1" applyBorder="1" applyAlignment="1">
      <alignment vertical="center"/>
    </xf>
    <xf numFmtId="0" fontId="28" fillId="0" borderId="29" xfId="0" applyFont="1" applyFill="1" applyBorder="1" applyAlignment="1" applyProtection="1">
      <alignment horizontal="center" vertical="center"/>
    </xf>
    <xf numFmtId="0" fontId="28" fillId="0" borderId="50" xfId="0" applyFont="1" applyFill="1" applyBorder="1" applyAlignment="1" applyProtection="1">
      <alignment horizontal="center" vertical="center"/>
      <protection locked="0"/>
    </xf>
    <xf numFmtId="0" fontId="28" fillId="0" borderId="66" xfId="0" applyFont="1" applyFill="1" applyBorder="1" applyAlignment="1" applyProtection="1">
      <alignment horizontal="left" vertical="center"/>
      <protection locked="0"/>
    </xf>
    <xf numFmtId="0" fontId="28" fillId="0" borderId="50" xfId="0" applyFont="1" applyFill="1" applyBorder="1" applyAlignment="1" applyProtection="1">
      <alignment vertical="center"/>
      <protection locked="0"/>
    </xf>
    <xf numFmtId="0" fontId="28" fillId="0" borderId="66" xfId="0" applyFont="1" applyFill="1" applyBorder="1" applyAlignment="1" applyProtection="1">
      <alignment horizontal="center" vertical="center" shrinkToFit="1"/>
      <protection locked="0"/>
    </xf>
    <xf numFmtId="0" fontId="28" fillId="0" borderId="50" xfId="0" applyFont="1" applyFill="1" applyBorder="1" applyAlignment="1" applyProtection="1">
      <alignment horizontal="center" vertical="center" shrinkToFit="1"/>
      <protection locked="0"/>
    </xf>
    <xf numFmtId="0" fontId="28" fillId="0" borderId="50" xfId="0" quotePrefix="1" applyFont="1" applyFill="1" applyBorder="1" applyAlignment="1" applyProtection="1">
      <alignment horizontal="center" vertical="center" shrinkToFit="1"/>
      <protection locked="0"/>
    </xf>
    <xf numFmtId="0" fontId="28" fillId="0" borderId="67" xfId="0" quotePrefix="1" applyFont="1" applyFill="1" applyBorder="1" applyAlignment="1" applyProtection="1">
      <alignment horizontal="center" vertical="center" shrinkToFit="1"/>
      <protection locked="0"/>
    </xf>
    <xf numFmtId="0" fontId="29" fillId="0" borderId="66" xfId="0" quotePrefix="1" applyFont="1" applyFill="1" applyBorder="1" applyAlignment="1">
      <alignment horizontal="center" vertical="center" shrinkToFit="1"/>
    </xf>
    <xf numFmtId="0" fontId="0" fillId="0" borderId="0" xfId="0" applyAlignment="1">
      <alignment vertical="center"/>
    </xf>
    <xf numFmtId="0" fontId="0" fillId="5" borderId="0" xfId="0" applyFill="1" applyAlignment="1">
      <alignment vertical="center"/>
    </xf>
    <xf numFmtId="0" fontId="11" fillId="0" borderId="29" xfId="0" applyFont="1" applyFill="1" applyBorder="1" applyAlignment="1">
      <alignment horizontal="center"/>
    </xf>
    <xf numFmtId="0" fontId="11" fillId="0" borderId="49" xfId="0" applyFont="1" applyFill="1" applyBorder="1" applyAlignment="1">
      <alignment horizontal="center" vertical="center"/>
    </xf>
    <xf numFmtId="0" fontId="11" fillId="0" borderId="50" xfId="0" applyFont="1" applyFill="1" applyBorder="1" applyAlignment="1">
      <alignment horizontal="center" vertical="center"/>
    </xf>
    <xf numFmtId="0" fontId="11" fillId="0" borderId="37" xfId="0" applyFont="1" applyFill="1" applyBorder="1" applyAlignment="1">
      <alignment horizontal="center" vertical="center"/>
    </xf>
    <xf numFmtId="0" fontId="11" fillId="0" borderId="27" xfId="0" applyFont="1" applyFill="1" applyBorder="1" applyAlignment="1">
      <alignment horizontal="center"/>
    </xf>
    <xf numFmtId="0" fontId="11" fillId="0" borderId="26" xfId="0" applyFont="1" applyFill="1" applyBorder="1" applyAlignment="1">
      <alignment horizontal="center"/>
    </xf>
    <xf numFmtId="0" fontId="11" fillId="0" borderId="2" xfId="0" applyFont="1" applyFill="1" applyBorder="1" applyAlignment="1">
      <alignment horizontal="center"/>
    </xf>
    <xf numFmtId="0" fontId="14" fillId="0" borderId="29" xfId="0" applyFont="1" applyFill="1" applyBorder="1" applyAlignment="1">
      <alignment horizontal="center" vertical="top"/>
    </xf>
    <xf numFmtId="0" fontId="14" fillId="0" borderId="32" xfId="0" applyFont="1" applyFill="1" applyBorder="1" applyAlignment="1">
      <alignment horizontal="center" vertical="top"/>
    </xf>
    <xf numFmtId="0" fontId="14" fillId="0" borderId="41" xfId="0" applyFont="1" applyFill="1" applyBorder="1" applyAlignment="1">
      <alignment horizontal="center" vertical="top"/>
    </xf>
    <xf numFmtId="0" fontId="14" fillId="0" borderId="34" xfId="0" applyFont="1" applyFill="1" applyBorder="1" applyAlignment="1">
      <alignment horizontal="center" vertical="top"/>
    </xf>
    <xf numFmtId="0" fontId="11" fillId="0" borderId="0" xfId="0" applyFont="1" applyBorder="1" applyAlignment="1">
      <alignment horizontal="center"/>
    </xf>
    <xf numFmtId="0" fontId="11" fillId="0" borderId="10" xfId="0" applyFont="1" applyBorder="1" applyAlignment="1">
      <alignment horizontal="center" vertical="center"/>
    </xf>
    <xf numFmtId="0" fontId="12" fillId="0" borderId="13" xfId="1" applyNumberFormat="1" applyFont="1" applyBorder="1" applyAlignment="1" applyProtection="1">
      <alignment horizontal="right"/>
    </xf>
    <xf numFmtId="0" fontId="14" fillId="0" borderId="23" xfId="1" applyNumberFormat="1" applyFont="1" applyFill="1" applyBorder="1" applyAlignment="1" applyProtection="1">
      <alignment horizontal="center" vertical="center"/>
    </xf>
    <xf numFmtId="0" fontId="14" fillId="0" borderId="39" xfId="1" applyNumberFormat="1" applyFont="1" applyFill="1" applyBorder="1" applyAlignment="1" applyProtection="1">
      <alignment horizontal="center" vertical="center"/>
    </xf>
    <xf numFmtId="0" fontId="14" fillId="0" borderId="53" xfId="1" applyNumberFormat="1" applyFont="1" applyFill="1" applyBorder="1" applyAlignment="1" applyProtection="1">
      <alignment horizontal="center" vertical="center"/>
    </xf>
    <xf numFmtId="0" fontId="14" fillId="0" borderId="22" xfId="1" applyNumberFormat="1" applyFont="1" applyFill="1" applyBorder="1" applyAlignment="1" applyProtection="1">
      <alignment horizontal="center" vertical="center"/>
    </xf>
    <xf numFmtId="0" fontId="14" fillId="0" borderId="51" xfId="1" applyNumberFormat="1" applyFont="1" applyFill="1" applyBorder="1" applyAlignment="1" applyProtection="1">
      <alignment horizontal="center" vertical="center"/>
    </xf>
    <xf numFmtId="0" fontId="14" fillId="0" borderId="52" xfId="1" applyNumberFormat="1" applyFont="1" applyFill="1" applyBorder="1" applyAlignment="1" applyProtection="1">
      <alignment horizontal="center" vertical="center"/>
    </xf>
    <xf numFmtId="0" fontId="14" fillId="0" borderId="54" xfId="1" applyNumberFormat="1" applyFont="1" applyFill="1" applyBorder="1" applyAlignment="1" applyProtection="1">
      <alignment horizontal="center" vertical="center" wrapText="1"/>
    </xf>
    <xf numFmtId="0" fontId="14" fillId="0" borderId="50" xfId="1" applyNumberFormat="1" applyFont="1" applyFill="1" applyBorder="1" applyAlignment="1" applyProtection="1">
      <alignment horizontal="center" vertical="center"/>
    </xf>
    <xf numFmtId="0" fontId="14" fillId="0" borderId="55" xfId="1" applyNumberFormat="1" applyFont="1" applyFill="1" applyBorder="1" applyAlignment="1" applyProtection="1">
      <alignment horizontal="center" vertical="center"/>
    </xf>
    <xf numFmtId="0" fontId="14" fillId="0" borderId="33" xfId="1" applyNumberFormat="1" applyFont="1" applyFill="1" applyBorder="1" applyAlignment="1" applyProtection="1">
      <alignment horizontal="center" vertical="center"/>
    </xf>
    <xf numFmtId="0" fontId="14" fillId="0" borderId="41" xfId="1" applyNumberFormat="1" applyFont="1" applyFill="1" applyBorder="1" applyAlignment="1" applyProtection="1">
      <alignment horizontal="center" vertical="center"/>
    </xf>
    <xf numFmtId="0" fontId="14" fillId="0" borderId="34" xfId="1" applyNumberFormat="1" applyFont="1" applyFill="1" applyBorder="1" applyAlignment="1" applyProtection="1">
      <alignment horizontal="center" vertical="center"/>
    </xf>
    <xf numFmtId="0" fontId="5" fillId="2" borderId="8" xfId="0" applyFont="1" applyFill="1" applyBorder="1" applyAlignment="1">
      <alignment horizontal="left" vertical="top" wrapText="1"/>
    </xf>
    <xf numFmtId="0" fontId="5" fillId="0" borderId="0" xfId="0" applyFont="1" applyFill="1" applyBorder="1" applyAlignment="1">
      <alignment horizontal="left" vertical="top"/>
    </xf>
    <xf numFmtId="0" fontId="5" fillId="0" borderId="7" xfId="0" applyFont="1" applyFill="1" applyBorder="1" applyAlignment="1">
      <alignment horizontal="left" vertical="top"/>
    </xf>
    <xf numFmtId="0" fontId="5" fillId="0" borderId="8" xfId="0" applyFont="1" applyFill="1" applyBorder="1" applyAlignment="1">
      <alignment horizontal="left" vertical="top"/>
    </xf>
    <xf numFmtId="0" fontId="5" fillId="0" borderId="12" xfId="0" applyFont="1" applyFill="1" applyBorder="1" applyAlignment="1">
      <alignment horizontal="left" vertical="top"/>
    </xf>
    <xf numFmtId="0" fontId="5" fillId="0" borderId="13" xfId="0" applyFont="1" applyFill="1" applyBorder="1" applyAlignment="1">
      <alignment horizontal="left" vertical="top"/>
    </xf>
    <xf numFmtId="0" fontId="5" fillId="0" borderId="14" xfId="0" applyFont="1" applyFill="1" applyBorder="1" applyAlignment="1">
      <alignment horizontal="left" vertical="top"/>
    </xf>
    <xf numFmtId="179" fontId="18" fillId="9" borderId="13" xfId="0" applyNumberFormat="1" applyFont="1" applyFill="1" applyBorder="1" applyAlignment="1">
      <alignment horizontal="center" vertical="center"/>
    </xf>
    <xf numFmtId="0" fontId="11" fillId="0" borderId="13" xfId="0" applyFont="1" applyBorder="1" applyAlignment="1">
      <alignment horizontal="center" vertical="center"/>
    </xf>
    <xf numFmtId="0" fontId="11" fillId="0" borderId="17" xfId="0" applyFont="1" applyBorder="1" applyAlignment="1">
      <alignment horizontal="center" vertical="center"/>
    </xf>
    <xf numFmtId="0" fontId="11" fillId="0" borderId="2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1" fillId="0" borderId="13" xfId="0" applyFont="1" applyBorder="1" applyAlignment="1">
      <alignment horizontal="left" vertical="center"/>
    </xf>
    <xf numFmtId="0" fontId="11" fillId="0" borderId="14" xfId="0" applyFont="1" applyBorder="1" applyAlignment="1">
      <alignment horizontal="left" vertical="center"/>
    </xf>
    <xf numFmtId="14" fontId="18" fillId="0" borderId="13" xfId="0" applyNumberFormat="1" applyFont="1" applyFill="1" applyBorder="1" applyAlignment="1">
      <alignment horizontal="center" vertical="center"/>
    </xf>
    <xf numFmtId="14" fontId="18" fillId="0" borderId="17" xfId="0" applyNumberFormat="1" applyFont="1" applyFill="1" applyBorder="1" applyAlignment="1">
      <alignment horizontal="center" vertical="center"/>
    </xf>
    <xf numFmtId="0" fontId="14" fillId="0" borderId="9" xfId="1" applyNumberFormat="1" applyFont="1" applyFill="1" applyBorder="1" applyAlignment="1" applyProtection="1">
      <alignment horizontal="center" vertical="center"/>
    </xf>
    <xf numFmtId="0" fontId="14" fillId="0" borderId="56" xfId="1" applyNumberFormat="1" applyFont="1" applyFill="1" applyBorder="1" applyAlignment="1" applyProtection="1">
      <alignment horizontal="center" vertical="center"/>
    </xf>
    <xf numFmtId="0" fontId="14" fillId="7" borderId="9" xfId="1" applyNumberFormat="1" applyFont="1" applyFill="1" applyBorder="1" applyAlignment="1" applyProtection="1">
      <alignment horizontal="center" vertical="center"/>
    </xf>
    <xf numFmtId="0" fontId="14" fillId="7" borderId="50" xfId="1" applyNumberFormat="1" applyFont="1" applyFill="1" applyBorder="1" applyAlignment="1" applyProtection="1">
      <alignment horizontal="center" vertical="center"/>
    </xf>
    <xf numFmtId="0" fontId="14" fillId="7" borderId="26" xfId="1" applyNumberFormat="1" applyFont="1" applyFill="1" applyBorder="1" applyAlignment="1" applyProtection="1">
      <alignment horizontal="center" vertical="center"/>
    </xf>
    <xf numFmtId="0" fontId="14" fillId="7" borderId="29" xfId="1" applyNumberFormat="1" applyFont="1" applyFill="1" applyBorder="1" applyAlignment="1" applyProtection="1">
      <alignment horizontal="center" vertical="center"/>
    </xf>
    <xf numFmtId="0" fontId="14" fillId="0" borderId="42" xfId="0" applyFont="1" applyFill="1" applyBorder="1" applyAlignment="1">
      <alignment horizontal="center" vertical="center"/>
    </xf>
    <xf numFmtId="0" fontId="14" fillId="0" borderId="31" xfId="0" applyFont="1" applyFill="1" applyBorder="1" applyAlignment="1">
      <alignment horizontal="center" vertical="center"/>
    </xf>
    <xf numFmtId="0" fontId="14" fillId="7" borderId="51" xfId="1" applyNumberFormat="1" applyFont="1" applyFill="1" applyBorder="1" applyAlignment="1" applyProtection="1">
      <alignment horizontal="center" vertical="center"/>
    </xf>
    <xf numFmtId="183" fontId="14" fillId="7" borderId="51" xfId="1" applyNumberFormat="1" applyFont="1" applyFill="1" applyBorder="1" applyAlignment="1" applyProtection="1">
      <alignment horizontal="center" vertical="center"/>
    </xf>
    <xf numFmtId="0" fontId="14" fillId="7" borderId="52" xfId="1" applyNumberFormat="1" applyFont="1" applyFill="1" applyBorder="1" applyAlignment="1" applyProtection="1">
      <alignment horizontal="center" vertical="center"/>
    </xf>
    <xf numFmtId="178" fontId="14" fillId="2" borderId="16" xfId="1" applyNumberFormat="1" applyFont="1" applyFill="1" applyBorder="1" applyAlignment="1" applyProtection="1">
      <alignment horizontal="center" vertical="center"/>
    </xf>
    <xf numFmtId="178" fontId="14" fillId="7" borderId="39" xfId="1" applyNumberFormat="1" applyFont="1" applyFill="1" applyBorder="1" applyAlignment="1" applyProtection="1">
      <alignment horizontal="center" vertical="center"/>
    </xf>
    <xf numFmtId="0" fontId="14" fillId="7" borderId="46" xfId="1" applyNumberFormat="1" applyFont="1" applyFill="1" applyBorder="1" applyAlignment="1" applyProtection="1">
      <alignment horizontal="center" vertical="center"/>
    </xf>
    <xf numFmtId="0" fontId="14" fillId="0" borderId="39" xfId="0" applyFont="1" applyFill="1" applyBorder="1" applyAlignment="1">
      <alignment horizontal="center" vertical="top"/>
    </xf>
    <xf numFmtId="0" fontId="14" fillId="0" borderId="53" xfId="0" applyFont="1" applyFill="1" applyBorder="1" applyAlignment="1">
      <alignment horizontal="center" vertical="top"/>
    </xf>
    <xf numFmtId="0" fontId="14" fillId="0" borderId="50" xfId="0" applyFont="1" applyFill="1" applyBorder="1" applyAlignment="1">
      <alignment horizontal="center" vertical="center"/>
    </xf>
    <xf numFmtId="0" fontId="14" fillId="0" borderId="55" xfId="0" applyFont="1" applyFill="1" applyBorder="1" applyAlignment="1">
      <alignment horizontal="center" vertical="center"/>
    </xf>
    <xf numFmtId="184" fontId="14" fillId="9" borderId="60" xfId="2" applyNumberFormat="1" applyFont="1" applyFill="1" applyBorder="1" applyAlignment="1">
      <alignment horizontal="center" vertical="center"/>
    </xf>
    <xf numFmtId="182" fontId="14" fillId="9" borderId="61" xfId="2" applyNumberFormat="1" applyFont="1" applyFill="1" applyBorder="1" applyAlignment="1">
      <alignment horizontal="center" vertical="center"/>
    </xf>
    <xf numFmtId="182" fontId="14" fillId="9" borderId="57" xfId="2" applyNumberFormat="1" applyFont="1" applyFill="1" applyBorder="1" applyAlignment="1">
      <alignment horizontal="center" vertical="center"/>
    </xf>
    <xf numFmtId="0" fontId="14" fillId="0" borderId="50" xfId="0" applyFont="1" applyFill="1" applyBorder="1" applyAlignment="1">
      <alignment horizontal="center" vertical="top"/>
    </xf>
    <xf numFmtId="0" fontId="14" fillId="0" borderId="25" xfId="1" applyNumberFormat="1" applyFont="1" applyFill="1" applyBorder="1" applyAlignment="1" applyProtection="1">
      <alignment horizontal="center" vertical="center"/>
    </xf>
    <xf numFmtId="0" fontId="14" fillId="0" borderId="29" xfId="1" applyNumberFormat="1" applyFont="1" applyFill="1" applyBorder="1" applyAlignment="1" applyProtection="1">
      <alignment horizontal="center" vertical="center"/>
    </xf>
    <xf numFmtId="0" fontId="8" fillId="3" borderId="3" xfId="0" applyFont="1" applyFill="1" applyBorder="1" applyAlignment="1">
      <alignment horizontal="center" textRotation="255"/>
    </xf>
    <xf numFmtId="0" fontId="8" fillId="3" borderId="5" xfId="0" applyFont="1" applyFill="1" applyBorder="1" applyAlignment="1">
      <alignment horizontal="center" textRotation="255"/>
    </xf>
    <xf numFmtId="0" fontId="8" fillId="3" borderId="8" xfId="0" applyFont="1" applyFill="1" applyBorder="1" applyAlignment="1">
      <alignment horizontal="center" textRotation="255"/>
    </xf>
    <xf numFmtId="0" fontId="8" fillId="3" borderId="7" xfId="0" applyFont="1" applyFill="1" applyBorder="1" applyAlignment="1">
      <alignment horizontal="center" textRotation="255"/>
    </xf>
    <xf numFmtId="181" fontId="8" fillId="3" borderId="8" xfId="0" applyNumberFormat="1" applyFont="1" applyFill="1" applyBorder="1" applyAlignment="1">
      <alignment horizontal="center" vertical="center" textRotation="255"/>
    </xf>
    <xf numFmtId="181" fontId="8" fillId="3" borderId="7" xfId="0" applyNumberFormat="1" applyFont="1" applyFill="1" applyBorder="1" applyAlignment="1">
      <alignment horizontal="center" vertical="center" textRotation="255"/>
    </xf>
    <xf numFmtId="0" fontId="8" fillId="3" borderId="8" xfId="0" applyFont="1" applyFill="1" applyBorder="1" applyAlignment="1">
      <alignment horizontal="center" vertical="top" textRotation="255"/>
    </xf>
    <xf numFmtId="0" fontId="8" fillId="3" borderId="7" xfId="0" applyFont="1" applyFill="1" applyBorder="1" applyAlignment="1">
      <alignment horizontal="center" vertical="top" textRotation="255"/>
    </xf>
    <xf numFmtId="0" fontId="8" fillId="3" borderId="12" xfId="0" applyFont="1" applyFill="1" applyBorder="1" applyAlignment="1">
      <alignment horizontal="center" vertical="top" textRotation="255"/>
    </xf>
    <xf numFmtId="0" fontId="8" fillId="3" borderId="14" xfId="0" applyFont="1" applyFill="1" applyBorder="1" applyAlignment="1">
      <alignment horizontal="center" vertical="top" textRotation="255"/>
    </xf>
    <xf numFmtId="0" fontId="14" fillId="0" borderId="57" xfId="1" applyNumberFormat="1" applyFont="1" applyFill="1" applyBorder="1" applyAlignment="1" applyProtection="1">
      <alignment horizontal="center" vertical="center"/>
    </xf>
    <xf numFmtId="0" fontId="14" fillId="0" borderId="42" xfId="1" applyNumberFormat="1" applyFont="1" applyFill="1" applyBorder="1" applyAlignment="1" applyProtection="1">
      <alignment horizontal="center" vertical="center"/>
    </xf>
    <xf numFmtId="0" fontId="14" fillId="0" borderId="26" xfId="1" applyNumberFormat="1" applyFont="1" applyFill="1" applyBorder="1" applyAlignment="1" applyProtection="1">
      <alignment horizontal="center" vertical="center"/>
    </xf>
    <xf numFmtId="185" fontId="14" fillId="9" borderId="42" xfId="0" applyNumberFormat="1" applyFont="1" applyFill="1" applyBorder="1" applyAlignment="1">
      <alignment horizontal="center" vertical="center"/>
    </xf>
    <xf numFmtId="0" fontId="14" fillId="9" borderId="42" xfId="0" applyFont="1" applyFill="1" applyBorder="1" applyAlignment="1">
      <alignment horizontal="center" vertical="center"/>
    </xf>
    <xf numFmtId="0" fontId="14" fillId="0" borderId="42" xfId="0" applyFont="1" applyFill="1" applyBorder="1" applyAlignment="1">
      <alignment horizontal="center" vertical="top"/>
    </xf>
    <xf numFmtId="0" fontId="14" fillId="0" borderId="32" xfId="1" applyNumberFormat="1" applyFont="1" applyFill="1" applyBorder="1" applyAlignment="1" applyProtection="1">
      <alignment horizontal="center" vertical="center"/>
    </xf>
    <xf numFmtId="0" fontId="14" fillId="0" borderId="31" xfId="0" applyFont="1" applyFill="1" applyBorder="1" applyAlignment="1">
      <alignment horizontal="center" vertical="top"/>
    </xf>
    <xf numFmtId="0" fontId="14" fillId="7" borderId="56" xfId="1" applyNumberFormat="1" applyFont="1" applyFill="1" applyBorder="1" applyAlignment="1" applyProtection="1">
      <alignment horizontal="center" vertical="center"/>
    </xf>
    <xf numFmtId="0" fontId="14" fillId="7" borderId="41" xfId="1" applyNumberFormat="1" applyFont="1" applyFill="1" applyBorder="1" applyAlignment="1" applyProtection="1">
      <alignment horizontal="center" vertical="center"/>
    </xf>
    <xf numFmtId="0" fontId="14" fillId="0" borderId="30" xfId="1" applyNumberFormat="1" applyFont="1" applyFill="1" applyBorder="1" applyAlignment="1" applyProtection="1">
      <alignment horizontal="center" vertical="center"/>
    </xf>
    <xf numFmtId="0" fontId="18" fillId="9" borderId="47" xfId="0" applyFont="1" applyFill="1" applyBorder="1" applyAlignment="1">
      <alignment horizontal="center" vertical="center"/>
    </xf>
    <xf numFmtId="0" fontId="18" fillId="9" borderId="15" xfId="0" applyFont="1" applyFill="1" applyBorder="1" applyAlignment="1">
      <alignment horizontal="center" vertical="center"/>
    </xf>
    <xf numFmtId="0" fontId="18" fillId="0" borderId="43" xfId="0" applyFont="1" applyBorder="1" applyAlignment="1">
      <alignment horizontal="center" vertical="center"/>
    </xf>
    <xf numFmtId="0" fontId="18" fillId="0" borderId="44" xfId="0" applyFont="1" applyBorder="1" applyAlignment="1">
      <alignment horizontal="center" vertical="center"/>
    </xf>
    <xf numFmtId="0" fontId="18" fillId="0" borderId="48" xfId="0" applyFont="1" applyBorder="1" applyAlignment="1">
      <alignment horizontal="center" vertical="center"/>
    </xf>
    <xf numFmtId="0" fontId="18" fillId="3" borderId="25" xfId="0" applyFont="1" applyFill="1" applyBorder="1" applyAlignment="1">
      <alignment horizontal="center" vertical="center"/>
    </xf>
    <xf numFmtId="0" fontId="18" fillId="3" borderId="29" xfId="0" applyFont="1" applyFill="1" applyBorder="1" applyAlignment="1">
      <alignment horizontal="center" vertical="center"/>
    </xf>
    <xf numFmtId="0" fontId="18" fillId="9" borderId="27" xfId="0" applyFont="1" applyFill="1" applyBorder="1" applyAlignment="1">
      <alignment horizontal="center" vertical="center"/>
    </xf>
    <xf numFmtId="0" fontId="18" fillId="9" borderId="2" xfId="0" applyFont="1" applyFill="1" applyBorder="1" applyAlignment="1">
      <alignment horizontal="center" vertical="center"/>
    </xf>
    <xf numFmtId="0" fontId="18" fillId="9" borderId="26" xfId="0" applyFont="1" applyFill="1" applyBorder="1" applyAlignment="1">
      <alignment horizontal="center" vertical="center"/>
    </xf>
    <xf numFmtId="0" fontId="6" fillId="0" borderId="0" xfId="0" applyFont="1" applyAlignment="1">
      <alignment horizontal="left" vertical="center" wrapText="1"/>
    </xf>
    <xf numFmtId="0" fontId="18" fillId="0" borderId="0" xfId="0" applyFont="1" applyAlignment="1">
      <alignment horizontal="left" wrapText="1"/>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8" fillId="0" borderId="16"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17" xfId="0" applyFont="1" applyBorder="1" applyAlignment="1">
      <alignment horizontal="center" vertical="center"/>
    </xf>
    <xf numFmtId="0" fontId="5" fillId="0" borderId="21" xfId="0" applyFont="1" applyBorder="1" applyAlignment="1">
      <alignment horizontal="center" vertical="center" wrapText="1"/>
    </xf>
    <xf numFmtId="0" fontId="5" fillId="0" borderId="46" xfId="0" applyFont="1" applyBorder="1" applyAlignment="1">
      <alignment horizontal="center" vertical="center" wrapText="1"/>
    </xf>
    <xf numFmtId="0" fontId="18" fillId="0" borderId="24" xfId="0" applyFont="1" applyBorder="1" applyAlignment="1">
      <alignment horizontal="left" vertical="center"/>
    </xf>
    <xf numFmtId="0" fontId="18" fillId="0" borderId="4" xfId="0" applyFont="1" applyBorder="1" applyAlignment="1">
      <alignment horizontal="left" vertical="center"/>
    </xf>
    <xf numFmtId="0" fontId="18" fillId="0" borderId="5" xfId="0" applyFont="1" applyBorder="1" applyAlignment="1">
      <alignment horizontal="left" vertical="center"/>
    </xf>
    <xf numFmtId="0" fontId="5" fillId="0" borderId="30" xfId="0" applyFont="1" applyBorder="1" applyAlignment="1">
      <alignment vertical="center"/>
    </xf>
    <xf numFmtId="0" fontId="5" fillId="0" borderId="42" xfId="0" applyFont="1" applyBorder="1" applyAlignment="1">
      <alignment vertical="center"/>
    </xf>
    <xf numFmtId="0" fontId="5" fillId="0" borderId="33" xfId="0" applyFont="1" applyBorder="1" applyAlignment="1">
      <alignment vertical="center"/>
    </xf>
    <xf numFmtId="0" fontId="5" fillId="0" borderId="41" xfId="0" applyFont="1" applyBorder="1" applyAlignment="1">
      <alignment vertical="center"/>
    </xf>
    <xf numFmtId="0" fontId="18" fillId="0" borderId="30" xfId="0" applyFont="1" applyBorder="1" applyAlignment="1">
      <alignment vertical="center" wrapText="1"/>
    </xf>
    <xf numFmtId="0" fontId="18" fillId="0" borderId="42" xfId="0" applyFont="1" applyBorder="1" applyAlignment="1">
      <alignment vertical="center"/>
    </xf>
    <xf numFmtId="0" fontId="18" fillId="0" borderId="33" xfId="0" applyFont="1" applyBorder="1" applyAlignment="1">
      <alignment vertical="center"/>
    </xf>
    <xf numFmtId="0" fontId="18" fillId="0" borderId="41" xfId="0" applyFont="1" applyBorder="1" applyAlignment="1">
      <alignment vertical="center"/>
    </xf>
    <xf numFmtId="0" fontId="18" fillId="0" borderId="21" xfId="0" applyFont="1" applyBorder="1" applyAlignment="1">
      <alignment horizontal="center" vertical="center" wrapText="1" shrinkToFit="1"/>
    </xf>
    <xf numFmtId="0" fontId="18" fillId="0" borderId="19" xfId="0" applyFont="1" applyBorder="1" applyAlignment="1">
      <alignment horizontal="center" vertical="center" wrapText="1" shrinkToFit="1"/>
    </xf>
    <xf numFmtId="0" fontId="18" fillId="0" borderId="20" xfId="0" applyFont="1" applyBorder="1" applyAlignment="1">
      <alignment horizontal="center" vertical="center" wrapText="1" shrinkToFit="1"/>
    </xf>
    <xf numFmtId="0" fontId="11" fillId="0" borderId="24" xfId="0" applyFont="1" applyFill="1" applyBorder="1" applyAlignment="1">
      <alignment vertical="center" wrapText="1"/>
    </xf>
    <xf numFmtId="0" fontId="11" fillId="0" borderId="5" xfId="0" applyFont="1" applyBorder="1" applyAlignment="1">
      <alignment vertical="center" wrapText="1"/>
    </xf>
    <xf numFmtId="0" fontId="11" fillId="0" borderId="36" xfId="0" applyFont="1" applyBorder="1" applyAlignment="1">
      <alignment vertical="center" wrapText="1"/>
    </xf>
    <xf numFmtId="0" fontId="11" fillId="0" borderId="14" xfId="0" applyFont="1" applyBorder="1" applyAlignment="1">
      <alignment vertical="center" wrapText="1"/>
    </xf>
    <xf numFmtId="0" fontId="5" fillId="0" borderId="19" xfId="0" applyFont="1" applyBorder="1" applyAlignment="1">
      <alignment horizontal="center" vertical="center" wrapText="1"/>
    </xf>
    <xf numFmtId="0" fontId="18" fillId="0" borderId="18" xfId="0" applyFont="1" applyBorder="1" applyAlignment="1">
      <alignment horizontal="center" vertical="center" wrapText="1"/>
    </xf>
    <xf numFmtId="0" fontId="18" fillId="0" borderId="19" xfId="0" applyFont="1" applyBorder="1" applyAlignment="1">
      <alignment horizontal="center" vertical="center" wrapText="1"/>
    </xf>
    <xf numFmtId="0" fontId="5" fillId="0" borderId="25" xfId="0" applyFont="1" applyBorder="1" applyAlignment="1">
      <alignment vertical="center"/>
    </xf>
    <xf numFmtId="0" fontId="5" fillId="0" borderId="29" xfId="0" applyFont="1" applyBorder="1" applyAlignment="1">
      <alignment vertical="center"/>
    </xf>
    <xf numFmtId="0" fontId="5" fillId="0" borderId="38" xfId="0" applyFont="1" applyBorder="1" applyAlignment="1">
      <alignment vertical="center"/>
    </xf>
    <xf numFmtId="0" fontId="5" fillId="0" borderId="49" xfId="0" applyFont="1" applyBorder="1" applyAlignment="1">
      <alignment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0" xfId="0" applyFont="1" applyBorder="1" applyAlignment="1">
      <alignment vertical="center"/>
    </xf>
    <xf numFmtId="0" fontId="5" fillId="0" borderId="7" xfId="0" applyFont="1" applyBorder="1" applyAlignment="1">
      <alignment vertical="center"/>
    </xf>
    <xf numFmtId="0" fontId="5" fillId="0" borderId="13" xfId="0" applyFont="1" applyBorder="1" applyAlignment="1">
      <alignment vertical="center"/>
    </xf>
    <xf numFmtId="0" fontId="5" fillId="0" borderId="14" xfId="0" applyFont="1" applyBorder="1" applyAlignment="1">
      <alignment vertical="center"/>
    </xf>
    <xf numFmtId="0" fontId="14" fillId="0" borderId="54" xfId="1" applyNumberFormat="1" applyFont="1" applyFill="1" applyBorder="1" applyAlignment="1" applyProtection="1">
      <alignment horizontal="center" vertical="center"/>
    </xf>
    <xf numFmtId="0" fontId="14" fillId="0" borderId="31" xfId="1" applyNumberFormat="1" applyFont="1" applyFill="1" applyBorder="1" applyAlignment="1" applyProtection="1">
      <alignment horizontal="center" vertical="center"/>
    </xf>
    <xf numFmtId="0" fontId="18" fillId="9" borderId="13" xfId="0" applyFont="1" applyFill="1" applyBorder="1" applyAlignment="1">
      <alignment horizontal="center" vertical="center"/>
    </xf>
    <xf numFmtId="0" fontId="5" fillId="0" borderId="10" xfId="0" applyFont="1" applyBorder="1" applyAlignment="1">
      <alignment vertical="center"/>
    </xf>
    <xf numFmtId="0" fontId="14" fillId="0" borderId="55" xfId="0" applyFont="1" applyFill="1" applyBorder="1" applyAlignment="1">
      <alignment horizontal="center" vertical="top"/>
    </xf>
    <xf numFmtId="0" fontId="11" fillId="0" borderId="29" xfId="0" applyFont="1" applyBorder="1" applyAlignment="1">
      <alignment horizontal="center"/>
    </xf>
    <xf numFmtId="0" fontId="5" fillId="0" borderId="29" xfId="0" applyFont="1" applyBorder="1" applyAlignment="1">
      <alignment horizontal="center"/>
    </xf>
    <xf numFmtId="0" fontId="11" fillId="0" borderId="0" xfId="0" applyFont="1" applyFill="1" applyBorder="1" applyAlignment="1">
      <alignment horizontal="center"/>
    </xf>
    <xf numFmtId="0" fontId="5" fillId="0" borderId="0" xfId="0" applyFont="1" applyFill="1" applyBorder="1" applyAlignment="1">
      <alignment horizontal="center"/>
    </xf>
    <xf numFmtId="0" fontId="15" fillId="2" borderId="40" xfId="0" applyFont="1" applyFill="1" applyBorder="1" applyAlignment="1">
      <alignment horizontal="center" vertical="center" wrapText="1"/>
    </xf>
    <xf numFmtId="0" fontId="15" fillId="2" borderId="6" xfId="0" applyFont="1" applyFill="1" applyBorder="1" applyAlignment="1">
      <alignment horizontal="center" vertical="center"/>
    </xf>
    <xf numFmtId="0" fontId="15" fillId="2" borderId="58"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36" xfId="0" applyFont="1" applyFill="1" applyBorder="1" applyAlignment="1">
      <alignment horizontal="center" vertical="center"/>
    </xf>
    <xf numFmtId="0" fontId="15" fillId="2" borderId="13" xfId="0" applyFont="1" applyFill="1" applyBorder="1" applyAlignment="1">
      <alignment horizontal="center" vertical="center"/>
    </xf>
    <xf numFmtId="0" fontId="15" fillId="2" borderId="14" xfId="0" applyFont="1" applyFill="1" applyBorder="1" applyAlignment="1">
      <alignment horizontal="center" vertical="center"/>
    </xf>
    <xf numFmtId="179" fontId="18" fillId="9" borderId="42" xfId="0" applyNumberFormat="1" applyFont="1" applyFill="1" applyBorder="1" applyAlignment="1">
      <alignment horizontal="center" vertical="center"/>
    </xf>
    <xf numFmtId="179" fontId="18" fillId="9" borderId="31" xfId="0" applyNumberFormat="1" applyFont="1" applyFill="1" applyBorder="1" applyAlignment="1">
      <alignment horizontal="center" vertical="center"/>
    </xf>
    <xf numFmtId="0" fontId="18" fillId="0" borderId="45" xfId="0" applyFont="1" applyBorder="1" applyAlignment="1">
      <alignment horizontal="center" vertical="center"/>
    </xf>
    <xf numFmtId="0" fontId="18" fillId="9" borderId="28" xfId="0" applyFont="1" applyFill="1" applyBorder="1" applyAlignment="1">
      <alignment horizontal="center" vertical="center"/>
    </xf>
    <xf numFmtId="0" fontId="15" fillId="6" borderId="10" xfId="0" applyFont="1" applyFill="1" applyBorder="1" applyAlignment="1">
      <alignment horizontal="center" vertical="center" wrapText="1"/>
    </xf>
    <xf numFmtId="0" fontId="15" fillId="6" borderId="0" xfId="0" applyFont="1" applyFill="1" applyBorder="1" applyAlignment="1">
      <alignment horizontal="center" vertical="center" wrapText="1"/>
    </xf>
    <xf numFmtId="0" fontId="15" fillId="6" borderId="7" xfId="0" applyFont="1" applyFill="1" applyBorder="1" applyAlignment="1">
      <alignment horizontal="center" vertical="center" wrapText="1"/>
    </xf>
    <xf numFmtId="0" fontId="11" fillId="0" borderId="0" xfId="0" applyFont="1" applyAlignment="1">
      <alignment horizontal="center"/>
    </xf>
    <xf numFmtId="0" fontId="18" fillId="4" borderId="29" xfId="0" applyFont="1" applyFill="1" applyBorder="1" applyAlignment="1">
      <alignment horizontal="center" vertical="center"/>
    </xf>
    <xf numFmtId="0" fontId="19" fillId="2" borderId="40"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2" borderId="0" xfId="0" applyFont="1" applyFill="1" applyBorder="1" applyAlignment="1">
      <alignment horizontal="center" vertical="center" wrapText="1"/>
    </xf>
    <xf numFmtId="0" fontId="19" fillId="2" borderId="36" xfId="0" applyFont="1" applyFill="1" applyBorder="1" applyAlignment="1">
      <alignment horizontal="center" vertical="center" wrapText="1"/>
    </xf>
    <xf numFmtId="0" fontId="19" fillId="2" borderId="13" xfId="0" applyFont="1" applyFill="1" applyBorder="1" applyAlignment="1">
      <alignment horizontal="center" vertical="center" wrapText="1"/>
    </xf>
    <xf numFmtId="0" fontId="9" fillId="2" borderId="6"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13" xfId="0" applyFont="1" applyFill="1" applyBorder="1" applyAlignment="1">
      <alignment horizontal="center" vertical="center"/>
    </xf>
    <xf numFmtId="0" fontId="17" fillId="2" borderId="3" xfId="0" applyFont="1" applyFill="1" applyBorder="1" applyAlignment="1">
      <alignment horizontal="center"/>
    </xf>
    <xf numFmtId="0" fontId="5" fillId="0" borderId="4" xfId="0" applyFont="1" applyBorder="1" applyAlignment="1">
      <alignment horizontal="center"/>
    </xf>
    <xf numFmtId="0" fontId="5" fillId="0" borderId="16" xfId="0" applyFont="1" applyBorder="1" applyAlignment="1">
      <alignment horizontal="center"/>
    </xf>
    <xf numFmtId="0" fontId="5" fillId="0" borderId="8" xfId="0" applyFont="1" applyBorder="1" applyAlignment="1">
      <alignment horizontal="center"/>
    </xf>
    <xf numFmtId="0" fontId="5" fillId="0" borderId="0" xfId="0" applyFont="1" applyBorder="1" applyAlignment="1">
      <alignment horizontal="center"/>
    </xf>
    <xf numFmtId="0" fontId="5" fillId="0" borderId="11" xfId="0" applyFont="1" applyBorder="1" applyAlignment="1">
      <alignment horizontal="center"/>
    </xf>
    <xf numFmtId="0" fontId="5" fillId="0" borderId="35" xfId="0" applyFont="1" applyBorder="1" applyAlignment="1">
      <alignment horizontal="center"/>
    </xf>
    <xf numFmtId="0" fontId="5" fillId="0" borderId="1" xfId="0" applyFont="1" applyBorder="1" applyAlignment="1">
      <alignment horizontal="center"/>
    </xf>
    <xf numFmtId="0" fontId="5" fillId="0" borderId="9" xfId="0" applyFont="1" applyBorder="1" applyAlignment="1">
      <alignment horizontal="center"/>
    </xf>
    <xf numFmtId="0" fontId="12" fillId="2" borderId="24" xfId="0" applyFont="1" applyFill="1" applyBorder="1" applyAlignment="1">
      <alignment horizontal="center"/>
    </xf>
    <xf numFmtId="0" fontId="12" fillId="2" borderId="4"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0" xfId="0" applyFont="1" applyFill="1" applyBorder="1" applyAlignment="1">
      <alignment horizontal="center" vertical="center" shrinkToFit="1"/>
    </xf>
    <xf numFmtId="0" fontId="7" fillId="2" borderId="11" xfId="0" applyFont="1" applyFill="1" applyBorder="1" applyAlignment="1">
      <alignment horizontal="center" vertical="center" shrinkToFit="1"/>
    </xf>
    <xf numFmtId="0" fontId="15" fillId="2" borderId="6" xfId="0" applyFont="1" applyFill="1" applyBorder="1" applyAlignment="1">
      <alignment horizontal="center" vertical="center" shrinkToFit="1"/>
    </xf>
    <xf numFmtId="0" fontId="15" fillId="2" borderId="0" xfId="0" applyFont="1" applyFill="1" applyBorder="1" applyAlignment="1">
      <alignment horizontal="center" vertical="center" shrinkToFit="1"/>
    </xf>
    <xf numFmtId="0" fontId="15" fillId="2" borderId="13" xfId="0" applyFont="1" applyFill="1" applyBorder="1" applyAlignment="1">
      <alignment horizontal="center" vertical="center" shrinkToFit="1"/>
    </xf>
    <xf numFmtId="180" fontId="11" fillId="0" borderId="27" xfId="0" applyNumberFormat="1" applyFont="1" applyFill="1" applyBorder="1" applyAlignment="1">
      <alignment horizontal="center"/>
    </xf>
    <xf numFmtId="180" fontId="11" fillId="0" borderId="2" xfId="0" applyNumberFormat="1" applyFont="1" applyFill="1" applyBorder="1" applyAlignment="1">
      <alignment horizontal="center"/>
    </xf>
    <xf numFmtId="180" fontId="11" fillId="0" borderId="26" xfId="0" applyNumberFormat="1" applyFont="1" applyFill="1" applyBorder="1" applyAlignment="1">
      <alignment horizontal="center"/>
    </xf>
    <xf numFmtId="0" fontId="11" fillId="0" borderId="27" xfId="0" applyNumberFormat="1" applyFont="1" applyFill="1" applyBorder="1" applyAlignment="1">
      <alignment horizontal="center"/>
    </xf>
    <xf numFmtId="0" fontId="11" fillId="0" borderId="2" xfId="0" applyNumberFormat="1" applyFont="1" applyFill="1" applyBorder="1" applyAlignment="1">
      <alignment horizontal="center"/>
    </xf>
    <xf numFmtId="0" fontId="11" fillId="0" borderId="26" xfId="0" applyNumberFormat="1" applyFont="1" applyFill="1" applyBorder="1" applyAlignment="1">
      <alignment horizontal="center"/>
    </xf>
    <xf numFmtId="0" fontId="18" fillId="4" borderId="21" xfId="0" applyFont="1" applyFill="1" applyBorder="1" applyAlignment="1">
      <alignment horizontal="center" vertical="center"/>
    </xf>
    <xf numFmtId="0" fontId="18" fillId="4" borderId="19" xfId="0" applyFont="1" applyFill="1" applyBorder="1" applyAlignment="1">
      <alignment horizontal="center" vertical="center"/>
    </xf>
    <xf numFmtId="0" fontId="18" fillId="4" borderId="46" xfId="0" applyFont="1" applyFill="1" applyBorder="1" applyAlignment="1">
      <alignment horizontal="center" vertical="center"/>
    </xf>
    <xf numFmtId="14" fontId="11" fillId="0" borderId="27" xfId="0" applyNumberFormat="1" applyFont="1" applyFill="1" applyBorder="1" applyAlignment="1">
      <alignment horizontal="center"/>
    </xf>
    <xf numFmtId="14" fontId="11" fillId="0" borderId="2" xfId="0" applyNumberFormat="1" applyFont="1" applyFill="1" applyBorder="1" applyAlignment="1">
      <alignment horizontal="center"/>
    </xf>
    <xf numFmtId="14" fontId="11" fillId="0" borderId="26" xfId="0" applyNumberFormat="1" applyFont="1" applyFill="1" applyBorder="1" applyAlignment="1">
      <alignment horizontal="center"/>
    </xf>
    <xf numFmtId="0" fontId="18" fillId="3" borderId="30" xfId="0" applyFont="1" applyFill="1" applyBorder="1" applyAlignment="1">
      <alignment horizontal="center" vertical="center"/>
    </xf>
    <xf numFmtId="0" fontId="18" fillId="3" borderId="42" xfId="0" applyFont="1" applyFill="1" applyBorder="1" applyAlignment="1">
      <alignment horizontal="center" vertical="center"/>
    </xf>
    <xf numFmtId="0" fontId="18" fillId="0" borderId="42" xfId="0" applyFont="1" applyBorder="1" applyAlignment="1">
      <alignment horizontal="center" vertical="center"/>
    </xf>
    <xf numFmtId="0" fontId="18" fillId="3" borderId="12" xfId="0" applyFont="1" applyFill="1" applyBorder="1" applyAlignment="1">
      <alignment horizontal="center" vertical="center"/>
    </xf>
    <xf numFmtId="0" fontId="18" fillId="3" borderId="13" xfId="0" applyFont="1" applyFill="1" applyBorder="1" applyAlignment="1">
      <alignment horizontal="center" vertical="center"/>
    </xf>
  </cellXfs>
  <cellStyles count="3">
    <cellStyle name="通貨" xfId="2" builtinId="7"/>
    <cellStyle name="標準" xfId="0" builtinId="0"/>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13947</xdr:colOff>
      <xdr:row>50</xdr:row>
      <xdr:rowOff>66674</xdr:rowOff>
    </xdr:from>
    <xdr:to>
      <xdr:col>5</xdr:col>
      <xdr:colOff>458561</xdr:colOff>
      <xdr:row>51</xdr:row>
      <xdr:rowOff>185736</xdr:rowOff>
    </xdr:to>
    <xdr:pic>
      <xdr:nvPicPr>
        <xdr:cNvPr id="21990"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626268" y="8897710"/>
          <a:ext cx="1574007" cy="39120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239826</xdr:colOff>
      <xdr:row>69</xdr:row>
      <xdr:rowOff>81643</xdr:rowOff>
    </xdr:from>
    <xdr:to>
      <xdr:col>22</xdr:col>
      <xdr:colOff>87242</xdr:colOff>
      <xdr:row>84</xdr:row>
      <xdr:rowOff>217715</xdr:rowOff>
    </xdr:to>
    <xdr:grpSp>
      <xdr:nvGrpSpPr>
        <xdr:cNvPr id="12" name="グループ化 11"/>
        <xdr:cNvGrpSpPr/>
      </xdr:nvGrpSpPr>
      <xdr:grpSpPr>
        <a:xfrm>
          <a:off x="1981540" y="5470072"/>
          <a:ext cx="7086416" cy="3238500"/>
          <a:chOff x="857250" y="2209800"/>
          <a:chExt cx="5676701" cy="2552699"/>
        </a:xfrm>
      </xdr:grpSpPr>
      <xdr:grpSp>
        <xdr:nvGrpSpPr>
          <xdr:cNvPr id="13" name="グループ化 12"/>
          <xdr:cNvGrpSpPr/>
        </xdr:nvGrpSpPr>
        <xdr:grpSpPr>
          <a:xfrm>
            <a:off x="857250" y="2209800"/>
            <a:ext cx="5596237" cy="2552699"/>
            <a:chOff x="857250" y="2209800"/>
            <a:chExt cx="5596237" cy="2552699"/>
          </a:xfrm>
        </xdr:grpSpPr>
        <xdr:sp macro="" textlink="">
          <xdr:nvSpPr>
            <xdr:cNvPr id="20" name="角丸四角形 19"/>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角丸四角形 20"/>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r>
                <a:rPr kumimoji="1" lang="ja-JP" altLang="en-US" sz="1100">
                  <a:solidFill>
                    <a:sysClr val="windowText" lastClr="000000"/>
                  </a:solidFill>
                </a:rPr>
                <a:t>（測定容量）△</a:t>
              </a:r>
              <a:r>
                <a:rPr kumimoji="1" lang="ja-JP" altLang="ja-JP" sz="1100">
                  <a:solidFill>
                    <a:sysClr val="windowText" lastClr="000000"/>
                  </a:solidFill>
                  <a:effectLst/>
                  <a:latin typeface="+mn-lt"/>
                  <a:ea typeface="+mn-ea"/>
                  <a:cs typeface="+mn-cs"/>
                </a:rPr>
                <a:t>△</a:t>
              </a:r>
              <a:r>
                <a:rPr kumimoji="1" lang="ja-JP" altLang="en-US" sz="1100">
                  <a:solidFill>
                    <a:sysClr val="windowText" lastClr="000000"/>
                  </a:solidFill>
                </a:rPr>
                <a:t>△</a:t>
              </a:r>
              <a:r>
                <a:rPr kumimoji="1" lang="en-US" altLang="ja-JP" sz="1100">
                  <a:solidFill>
                    <a:sysClr val="windowText" lastClr="000000"/>
                  </a:solidFill>
                </a:rPr>
                <a:t>u</a:t>
              </a:r>
              <a:r>
                <a:rPr kumimoji="1" lang="ja-JP" altLang="en-US" sz="1100">
                  <a:solidFill>
                    <a:sysClr val="windowText" lastClr="000000"/>
                  </a:solidFill>
                </a:rPr>
                <a:t>ｌ</a:t>
              </a:r>
              <a:endParaRPr kumimoji="1" lang="en-US" altLang="ja-JP" sz="1100">
                <a:solidFill>
                  <a:sysClr val="windowText" lastClr="000000"/>
                </a:solidFill>
              </a:endParaRPr>
            </a:p>
            <a:p>
              <a:pPr algn="l"/>
              <a:r>
                <a:rPr kumimoji="1" lang="ja-JP" altLang="en-US" sz="1100">
                  <a:solidFill>
                    <a:sysClr val="windowText" lastClr="000000"/>
                  </a:solidFill>
                </a:rPr>
                <a:t>（検定者）</a:t>
              </a:r>
              <a:r>
                <a:rPr kumimoji="1" lang="en-US" altLang="ja-JP" sz="1100">
                  <a:solidFill>
                    <a:sysClr val="windowText" lastClr="000000"/>
                  </a:solidFill>
                </a:rPr>
                <a:t>TFS</a:t>
              </a:r>
              <a:r>
                <a:rPr kumimoji="1" lang="ja-JP" altLang="en-US" sz="1100">
                  <a:solidFill>
                    <a:sysClr val="windowText" lastClr="000000"/>
                  </a:solidFill>
                </a:rPr>
                <a:t>●●●</a:t>
              </a:r>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sp macro="" textlink="">
          <xdr:nvSpPr>
            <xdr:cNvPr id="22" name="角丸四角形 21"/>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23" name="左矢印吹き出し 22"/>
            <xdr:cNvSpPr/>
          </xdr:nvSpPr>
          <xdr:spPr>
            <a:xfrm rot="1418834">
              <a:off x="2033688" y="2855972"/>
              <a:ext cx="1190625" cy="285750"/>
            </a:xfrm>
            <a:prstGeom prst="lef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手書き部</a:t>
              </a:r>
            </a:p>
          </xdr:txBody>
        </xdr:sp>
        <xdr:sp macro="" textlink="">
          <xdr:nvSpPr>
            <xdr:cNvPr id="24" name="右矢印吹き出し 23"/>
            <xdr:cNvSpPr/>
          </xdr:nvSpPr>
          <xdr:spPr>
            <a:xfrm>
              <a:off x="1009650" y="3762375"/>
              <a:ext cx="10763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印字部</a:t>
              </a:r>
            </a:p>
          </xdr:txBody>
        </xdr:sp>
        <xdr:sp macro="" textlink="">
          <xdr:nvSpPr>
            <xdr:cNvPr id="25" name="角丸四角形 24"/>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r>
                <a:rPr kumimoji="1" lang="ja-JP" altLang="en-US" sz="1100">
                  <a:solidFill>
                    <a:sysClr val="windowText" lastClr="000000"/>
                  </a:solidFill>
                </a:rPr>
                <a:t>（測定容量）△</a:t>
              </a:r>
              <a:r>
                <a:rPr kumimoji="1" lang="ja-JP" altLang="ja-JP" sz="1100">
                  <a:solidFill>
                    <a:sysClr val="windowText" lastClr="000000"/>
                  </a:solidFill>
                  <a:effectLst/>
                  <a:latin typeface="+mn-lt"/>
                  <a:ea typeface="+mn-ea"/>
                  <a:cs typeface="+mn-cs"/>
                </a:rPr>
                <a:t>△</a:t>
              </a:r>
              <a:r>
                <a:rPr kumimoji="1" lang="ja-JP" altLang="en-US" sz="1100">
                  <a:solidFill>
                    <a:sysClr val="windowText" lastClr="000000"/>
                  </a:solidFill>
                </a:rPr>
                <a:t>△</a:t>
              </a:r>
              <a:r>
                <a:rPr kumimoji="1" lang="en-US" altLang="ja-JP" sz="1100">
                  <a:solidFill>
                    <a:sysClr val="windowText" lastClr="000000"/>
                  </a:solidFill>
                </a:rPr>
                <a:t>u</a:t>
              </a:r>
              <a:r>
                <a:rPr kumimoji="1" lang="ja-JP" altLang="en-US" sz="1100">
                  <a:solidFill>
                    <a:sysClr val="windowText" lastClr="000000"/>
                  </a:solidFill>
                </a:rPr>
                <a:t>ｌ</a:t>
              </a:r>
              <a:endParaRPr kumimoji="1" lang="en-US" altLang="ja-JP" sz="1100">
                <a:solidFill>
                  <a:sysClr val="windowText" lastClr="000000"/>
                </a:solidFill>
              </a:endParaRPr>
            </a:p>
            <a:p>
              <a:pPr algn="l"/>
              <a:r>
                <a:rPr kumimoji="1" lang="ja-JP" altLang="en-US" sz="1100">
                  <a:solidFill>
                    <a:sysClr val="windowText" lastClr="000000"/>
                  </a:solidFill>
                </a:rPr>
                <a:t>（検定者）</a:t>
              </a:r>
              <a:r>
                <a:rPr kumimoji="1" lang="en-US" altLang="ja-JP" sz="1100">
                  <a:solidFill>
                    <a:sysClr val="windowText" lastClr="000000"/>
                  </a:solidFill>
                </a:rPr>
                <a:t>TFS</a:t>
              </a:r>
              <a:r>
                <a:rPr kumimoji="1" lang="ja-JP" altLang="en-US" sz="1100">
                  <a:solidFill>
                    <a:sysClr val="windowText" lastClr="000000"/>
                  </a:solidFill>
                </a:rPr>
                <a:t>●●●</a:t>
              </a:r>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grpSp>
      <xdr:grpSp>
        <xdr:nvGrpSpPr>
          <xdr:cNvPr id="14" name="グループ化 13"/>
          <xdr:cNvGrpSpPr/>
        </xdr:nvGrpSpPr>
        <xdr:grpSpPr>
          <a:xfrm>
            <a:off x="4095750" y="2209800"/>
            <a:ext cx="2438201" cy="2552699"/>
            <a:chOff x="857250" y="2209800"/>
            <a:chExt cx="2438201" cy="2552699"/>
          </a:xfrm>
        </xdr:grpSpPr>
        <xdr:sp macro="" textlink="">
          <xdr:nvSpPr>
            <xdr:cNvPr id="16" name="角丸四角形 1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角丸四角形 1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8" name="左矢印吹き出し 17"/>
            <xdr:cNvSpPr/>
          </xdr:nvSpPr>
          <xdr:spPr>
            <a:xfrm rot="1238041">
              <a:off x="2104826" y="2812889"/>
              <a:ext cx="1190625" cy="285750"/>
            </a:xfrm>
            <a:prstGeom prst="lef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手書き部</a:t>
              </a:r>
            </a:p>
          </xdr:txBody>
        </xdr:sp>
        <xdr:sp macro="" textlink="">
          <xdr:nvSpPr>
            <xdr:cNvPr id="19" name="右矢印吹き出し 18"/>
            <xdr:cNvSpPr/>
          </xdr:nvSpPr>
          <xdr:spPr>
            <a:xfrm>
              <a:off x="1009650" y="3762375"/>
              <a:ext cx="10763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印字部</a:t>
              </a: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488;&#2411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2232;&#38598;)TFS&#21697;&#36074;&#30740;&#31350;&#37096;%20&#28014;&#38291;&#21697;&#36074;&#31649;&#29702;&#31532;1G%20&#12458;&#12540;&#12488;&#12500;&#12506;&#12483;&#12488;%20&#24615;&#33021;&#35430;&#39443;&#27161;&#28310;&#25163;&#38918;&#26360;%20&#22577;&#21578;&#26360;Rev3.0-A-C014%20(1)%20-%20&#12467;&#12500;&#1254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データ"/>
    </sheetNames>
    <sheetDataSet>
      <sheetData sheetId="0">
        <row r="2">
          <cell r="A2" t="str">
            <v>AA01</v>
          </cell>
          <cell r="B2" t="str">
            <v>ATRD</v>
          </cell>
          <cell r="C2" t="str">
            <v>RAININ</v>
          </cell>
          <cell r="D2" t="str">
            <v>12ch</v>
          </cell>
          <cell r="E2" t="str">
            <v>LTS</v>
          </cell>
          <cell r="F2">
            <v>0</v>
          </cell>
          <cell r="G2" t="str">
            <v>20</v>
          </cell>
          <cell r="H2" t="str">
            <v>5</v>
          </cell>
          <cell r="I2" t="str">
            <v>2PM</v>
          </cell>
          <cell r="J2">
            <v>2</v>
          </cell>
          <cell r="K2">
            <v>8</v>
          </cell>
          <cell r="L2">
            <v>0</v>
          </cell>
          <cell r="M2" t="str">
            <v>○</v>
          </cell>
          <cell r="N2">
            <v>42645</v>
          </cell>
          <cell r="O2" t="str">
            <v>RAININ LTS</v>
          </cell>
        </row>
        <row r="3">
          <cell r="A3" t="str">
            <v>AA02</v>
          </cell>
          <cell r="B3" t="str">
            <v>ATRD</v>
          </cell>
          <cell r="C3" t="str">
            <v>RAININ</v>
          </cell>
          <cell r="D3" t="str">
            <v>8ch</v>
          </cell>
          <cell r="E3" t="str">
            <v>LTS</v>
          </cell>
          <cell r="F3">
            <v>0</v>
          </cell>
          <cell r="G3">
            <v>200</v>
          </cell>
          <cell r="H3">
            <v>20</v>
          </cell>
          <cell r="I3" t="str">
            <v>2PM</v>
          </cell>
          <cell r="J3">
            <v>4</v>
          </cell>
          <cell r="K3" t="str">
            <v>10</v>
          </cell>
          <cell r="L3">
            <v>0</v>
          </cell>
          <cell r="M3" t="str">
            <v>○</v>
          </cell>
          <cell r="N3">
            <v>0</v>
          </cell>
          <cell r="O3" t="str">
            <v>RAININ LTS</v>
          </cell>
        </row>
        <row r="4">
          <cell r="A4" t="str">
            <v>AA03</v>
          </cell>
          <cell r="B4" t="str">
            <v>ATRD</v>
          </cell>
          <cell r="C4" t="str">
            <v>RAININ</v>
          </cell>
          <cell r="D4" t="str">
            <v>1ch</v>
          </cell>
          <cell r="E4" t="str">
            <v>LTS20</v>
          </cell>
          <cell r="F4">
            <v>0</v>
          </cell>
          <cell r="G4" t="str">
            <v>20</v>
          </cell>
          <cell r="H4" t="str">
            <v>2</v>
          </cell>
          <cell r="I4" t="str">
            <v>2PM</v>
          </cell>
          <cell r="J4">
            <v>3</v>
          </cell>
          <cell r="K4" t="str">
            <v>9</v>
          </cell>
          <cell r="L4">
            <v>0</v>
          </cell>
          <cell r="M4" t="str">
            <v>○</v>
          </cell>
          <cell r="N4">
            <v>0</v>
          </cell>
          <cell r="O4" t="str">
            <v>RAININ LTS20</v>
          </cell>
        </row>
        <row r="5">
          <cell r="A5" t="str">
            <v>AA04</v>
          </cell>
          <cell r="B5" t="str">
            <v>ATRD</v>
          </cell>
          <cell r="C5" t="str">
            <v>eppendorf</v>
          </cell>
          <cell r="D5" t="str">
            <v>Multipipette M4</v>
          </cell>
          <cell r="E5" t="str">
            <v>連続分注</v>
          </cell>
          <cell r="F5">
            <v>0</v>
          </cell>
          <cell r="G5">
            <v>0</v>
          </cell>
          <cell r="H5">
            <v>0</v>
          </cell>
          <cell r="I5" t="str">
            <v>2PM</v>
          </cell>
          <cell r="J5">
            <v>4</v>
          </cell>
          <cell r="K5" t="str">
            <v>10＊</v>
          </cell>
          <cell r="L5">
            <v>0</v>
          </cell>
          <cell r="M5" t="str">
            <v>○</v>
          </cell>
          <cell r="N5">
            <v>0</v>
          </cell>
          <cell r="O5" t="str">
            <v>eppendorf 連続分注</v>
          </cell>
        </row>
        <row r="6">
          <cell r="A6" t="str">
            <v>AA05</v>
          </cell>
          <cell r="B6" t="str">
            <v>BTRD</v>
          </cell>
          <cell r="C6" t="str">
            <v>Eppendorf</v>
          </cell>
          <cell r="D6" t="str">
            <v>1ch</v>
          </cell>
          <cell r="E6" t="str">
            <v>P10-100</v>
          </cell>
          <cell r="F6">
            <v>0</v>
          </cell>
          <cell r="G6">
            <v>100</v>
          </cell>
          <cell r="H6">
            <v>10</v>
          </cell>
          <cell r="I6" t="str">
            <v>2PM</v>
          </cell>
          <cell r="J6">
            <v>1</v>
          </cell>
          <cell r="K6">
            <v>7</v>
          </cell>
          <cell r="L6">
            <v>1</v>
          </cell>
          <cell r="M6" t="str">
            <v>○</v>
          </cell>
          <cell r="N6">
            <v>42649</v>
          </cell>
          <cell r="O6" t="str">
            <v>Eppendorf P10-100</v>
          </cell>
        </row>
        <row r="7">
          <cell r="A7" t="str">
            <v>AA06</v>
          </cell>
          <cell r="B7" t="str">
            <v>BTRD</v>
          </cell>
          <cell r="C7" t="str">
            <v>GILSON</v>
          </cell>
          <cell r="D7" t="str">
            <v>1ch</v>
          </cell>
          <cell r="E7" t="str">
            <v>P20</v>
          </cell>
          <cell r="F7">
            <v>0</v>
          </cell>
          <cell r="G7">
            <v>20</v>
          </cell>
          <cell r="H7">
            <v>2</v>
          </cell>
          <cell r="I7" t="str">
            <v>1PM</v>
          </cell>
          <cell r="J7">
            <v>8</v>
          </cell>
          <cell r="K7">
            <v>8</v>
          </cell>
          <cell r="L7">
            <v>8</v>
          </cell>
          <cell r="M7" t="str">
            <v>×</v>
          </cell>
          <cell r="N7">
            <v>42650</v>
          </cell>
          <cell r="O7" t="str">
            <v>GILSON P20</v>
          </cell>
        </row>
        <row r="8">
          <cell r="A8" t="str">
            <v>AA07</v>
          </cell>
          <cell r="B8" t="str">
            <v>BTRD</v>
          </cell>
          <cell r="C8" t="str">
            <v>GILSON</v>
          </cell>
          <cell r="D8" t="str">
            <v>1ch</v>
          </cell>
          <cell r="E8" t="str">
            <v>P1000</v>
          </cell>
          <cell r="F8">
            <v>0</v>
          </cell>
          <cell r="G8">
            <v>1000</v>
          </cell>
          <cell r="H8">
            <v>200</v>
          </cell>
          <cell r="I8" t="str">
            <v>1PM</v>
          </cell>
          <cell r="J8">
            <v>12</v>
          </cell>
          <cell r="K8">
            <v>0</v>
          </cell>
          <cell r="L8">
            <v>12</v>
          </cell>
          <cell r="M8" t="str">
            <v>×</v>
          </cell>
          <cell r="N8">
            <v>42651</v>
          </cell>
          <cell r="O8" t="str">
            <v>GILSON P1000</v>
          </cell>
        </row>
        <row r="9">
          <cell r="A9" t="str">
            <v>AA08</v>
          </cell>
          <cell r="B9" t="str">
            <v>BTRD</v>
          </cell>
          <cell r="C9" t="str">
            <v>GILSON</v>
          </cell>
          <cell r="D9" t="str">
            <v>1ch</v>
          </cell>
          <cell r="E9" t="str">
            <v>P-1000</v>
          </cell>
          <cell r="F9">
            <v>0</v>
          </cell>
          <cell r="G9">
            <v>1000</v>
          </cell>
          <cell r="H9">
            <v>200</v>
          </cell>
          <cell r="I9" t="str">
            <v>1PM</v>
          </cell>
          <cell r="J9">
            <v>8</v>
          </cell>
          <cell r="K9">
            <v>0</v>
          </cell>
          <cell r="L9">
            <v>8</v>
          </cell>
          <cell r="M9" t="str">
            <v>○</v>
          </cell>
          <cell r="N9">
            <v>42652</v>
          </cell>
          <cell r="O9" t="str">
            <v>GILSON P-1000</v>
          </cell>
        </row>
        <row r="10">
          <cell r="A10" t="str">
            <v>AA09</v>
          </cell>
          <cell r="B10" t="str">
            <v>BTRD</v>
          </cell>
          <cell r="C10" t="str">
            <v>FINN</v>
          </cell>
          <cell r="D10" t="str">
            <v>8ch</v>
          </cell>
          <cell r="E10" t="str">
            <v>8連1500，電動</v>
          </cell>
          <cell r="F10">
            <v>0</v>
          </cell>
          <cell r="G10">
            <v>1500</v>
          </cell>
          <cell r="H10">
            <v>150</v>
          </cell>
          <cell r="I10" t="str">
            <v>1PM</v>
          </cell>
          <cell r="J10">
            <v>2</v>
          </cell>
          <cell r="K10">
            <v>0</v>
          </cell>
          <cell r="L10">
            <v>0</v>
          </cell>
          <cell r="M10" t="str">
            <v>×</v>
          </cell>
          <cell r="N10">
            <v>42653</v>
          </cell>
          <cell r="O10" t="str">
            <v>FINN 8連1500，電動</v>
          </cell>
        </row>
        <row r="11">
          <cell r="A11" t="str">
            <v>AA10</v>
          </cell>
          <cell r="B11" t="str">
            <v>BTRD</v>
          </cell>
          <cell r="C11" t="str">
            <v>FINN</v>
          </cell>
          <cell r="D11" t="str">
            <v>8ch</v>
          </cell>
          <cell r="E11" t="str">
            <v>8連300</v>
          </cell>
          <cell r="F11">
            <v>0</v>
          </cell>
          <cell r="G11">
            <v>300</v>
          </cell>
          <cell r="H11">
            <v>30</v>
          </cell>
          <cell r="I11" t="str">
            <v>2PM</v>
          </cell>
          <cell r="J11">
            <v>4</v>
          </cell>
          <cell r="K11">
            <v>10</v>
          </cell>
          <cell r="L11">
            <v>0</v>
          </cell>
          <cell r="M11" t="str">
            <v>×</v>
          </cell>
          <cell r="N11">
            <v>42654</v>
          </cell>
          <cell r="O11" t="str">
            <v>FINN 8連300</v>
          </cell>
        </row>
        <row r="12">
          <cell r="A12" t="str">
            <v>AA11</v>
          </cell>
          <cell r="B12" t="str">
            <v>FTRD</v>
          </cell>
          <cell r="C12" t="str">
            <v>EPPENDORF</v>
          </cell>
          <cell r="D12" t="str">
            <v>1ch</v>
          </cell>
          <cell r="E12" t="str">
            <v>マイクロピペッター</v>
          </cell>
          <cell r="F12">
            <v>0</v>
          </cell>
          <cell r="G12">
            <v>20</v>
          </cell>
          <cell r="H12">
            <v>2</v>
          </cell>
          <cell r="I12" t="str">
            <v>2PM</v>
          </cell>
          <cell r="J12">
            <v>5</v>
          </cell>
          <cell r="K12">
            <v>11</v>
          </cell>
          <cell r="L12">
            <v>5</v>
          </cell>
          <cell r="M12" t="str">
            <v>×</v>
          </cell>
          <cell r="N12">
            <v>42655</v>
          </cell>
          <cell r="O12" t="str">
            <v>EPPENDORF マイクロピペッター</v>
          </cell>
        </row>
        <row r="13">
          <cell r="A13" t="str">
            <v>AA12</v>
          </cell>
          <cell r="B13" t="str">
            <v>FTRD</v>
          </cell>
          <cell r="C13" t="str">
            <v>EPPENDORF</v>
          </cell>
          <cell r="D13" t="str">
            <v>Multipette plus</v>
          </cell>
          <cell r="E13" t="str">
            <v>連続分注器</v>
          </cell>
          <cell r="F13">
            <v>0</v>
          </cell>
          <cell r="G13">
            <v>0</v>
          </cell>
          <cell r="H13">
            <v>0</v>
          </cell>
          <cell r="I13" t="str">
            <v>2PM</v>
          </cell>
          <cell r="J13">
            <v>5</v>
          </cell>
          <cell r="K13">
            <v>11</v>
          </cell>
          <cell r="L13">
            <v>0</v>
          </cell>
          <cell r="M13" t="str">
            <v>×</v>
          </cell>
          <cell r="N13">
            <v>42656</v>
          </cell>
          <cell r="O13" t="str">
            <v>EPPENDORF 連続分注器</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検定記録書"/>
      <sheetName val="様式-2 結果解析シート10μL未満"/>
      <sheetName val="様式-3 結果解析シート10μL以上20μL以下"/>
      <sheetName val="様式-4 結果解析シート21μL以上"/>
      <sheetName val="検定データ"/>
      <sheetName val="Sheet1"/>
    </sheetNames>
    <sheetDataSet>
      <sheetData sheetId="0"/>
      <sheetData sheetId="1"/>
      <sheetData sheetId="2"/>
      <sheetData sheetId="3"/>
      <sheetData sheetId="4">
        <row r="3">
          <cell r="I3">
            <v>6</v>
          </cell>
        </row>
      </sheetData>
      <sheetData sheetId="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3" Type="http://schemas.openxmlformats.org/officeDocument/2006/relationships/vmlDrawing" Target="../drawings/vmlDrawing1.vml"/><Relationship Id="rId34" Type="http://schemas.openxmlformats.org/officeDocument/2006/relationships/ctrlProp" Target="../ctrlProps/ctrlProp3.x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33"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ontrol" Target="../activeX/activeX13.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32" Type="http://schemas.openxmlformats.org/officeDocument/2006/relationships/ctrlProp" Target="../ctrlProps/ctrlProp1.xml"/><Relationship Id="rId5" Type="http://schemas.openxmlformats.org/officeDocument/2006/relationships/control" Target="../activeX/activeX2.xml"/><Relationship Id="rId15" Type="http://schemas.openxmlformats.org/officeDocument/2006/relationships/control" Target="../activeX/activeX1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 Id="rId35"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enableFormatConditionsCalculation="0">
    <tabColor indexed="46"/>
    <pageSetUpPr fitToPage="1"/>
  </sheetPr>
  <dimension ref="A1:AW120"/>
  <sheetViews>
    <sheetView tabSelected="1" view="pageBreakPreview" topLeftCell="A76" zoomScale="70" zoomScaleNormal="100" zoomScaleSheetLayoutView="70" workbookViewId="0">
      <selection activeCell="I67" sqref="I67:R67"/>
    </sheetView>
  </sheetViews>
  <sheetFormatPr defaultRowHeight="14.25"/>
  <cols>
    <col min="1" max="1" width="4.25" style="17" customWidth="1"/>
    <col min="2" max="2" width="3.75" style="17" customWidth="1"/>
    <col min="3" max="3" width="4.375" style="17" customWidth="1"/>
    <col min="4" max="4" width="4.625" style="17" customWidth="1"/>
    <col min="5" max="5" width="5.75" style="17" customWidth="1"/>
    <col min="6" max="6" width="6.125" style="17" customWidth="1"/>
    <col min="7" max="7" width="5" style="17" customWidth="1"/>
    <col min="8" max="10" width="4.625" style="17" customWidth="1"/>
    <col min="11" max="13" width="7.625" style="17" customWidth="1"/>
    <col min="14" max="15" width="3.5" style="17" customWidth="1"/>
    <col min="16" max="18" width="4.625" style="17" customWidth="1"/>
    <col min="19" max="21" width="7.5" style="17" customWidth="1"/>
    <col min="22" max="23" width="3.375" style="17" customWidth="1"/>
    <col min="24" max="24" width="4.375" style="17" customWidth="1"/>
    <col min="25" max="26" width="10.625" style="77" hidden="1" customWidth="1"/>
    <col min="27" max="27" width="10.625" style="17" hidden="1" customWidth="1"/>
    <col min="28" max="28" width="6.625" style="17" hidden="1" customWidth="1"/>
    <col min="29" max="29" width="13.25" style="17" hidden="1" customWidth="1"/>
    <col min="30" max="32" width="7.25" style="17" hidden="1" customWidth="1"/>
    <col min="33" max="33" width="10.625" style="17" hidden="1" customWidth="1"/>
    <col min="34" max="34" width="6.625" style="77" hidden="1" customWidth="1"/>
    <col min="35" max="35" width="13.25" style="77" hidden="1" customWidth="1"/>
    <col min="36" max="38" width="7.25" style="77" hidden="1" customWidth="1"/>
    <col min="39" max="39" width="10.625" style="77" hidden="1" customWidth="1"/>
    <col min="40" max="40" width="6.625" style="17" customWidth="1"/>
    <col min="41" max="16384" width="9" style="17"/>
  </cols>
  <sheetData>
    <row r="1" spans="3:42">
      <c r="S1" s="47" t="str">
        <f>"管理No.： "&amp;G8&amp;" QCU管理"</f>
        <v>管理No.：  QCU管理</v>
      </c>
      <c r="T1" s="47"/>
      <c r="U1" s="47"/>
      <c r="V1" s="47"/>
      <c r="W1" s="47"/>
      <c r="X1" s="47"/>
      <c r="Y1" s="47"/>
      <c r="Z1" s="47"/>
      <c r="AA1" s="47"/>
      <c r="AB1" s="47"/>
      <c r="AC1" s="29"/>
      <c r="AD1" s="29"/>
      <c r="AE1" s="29"/>
      <c r="AF1" s="29"/>
      <c r="AG1" s="29"/>
      <c r="AH1" s="78"/>
      <c r="AI1" s="78"/>
      <c r="AJ1" s="78"/>
      <c r="AK1" s="78"/>
      <c r="AL1" s="78"/>
      <c r="AM1" s="78"/>
      <c r="AN1" s="29"/>
      <c r="AO1" s="29"/>
      <c r="AP1" s="29"/>
    </row>
    <row r="2" spans="3:42">
      <c r="S2" s="107" t="str">
        <f ca="1">"検定日： "&amp;TEXT(G15,"yyyy年m月ｄ日")</f>
        <v>検定日： 2016年10月31日</v>
      </c>
      <c r="T2" s="47"/>
      <c r="U2" s="47"/>
      <c r="V2" s="47"/>
      <c r="W2" s="47"/>
      <c r="X2" s="47"/>
      <c r="Y2" s="47"/>
      <c r="Z2" s="47"/>
      <c r="AA2" s="47"/>
      <c r="AB2" s="47"/>
      <c r="AC2" s="29"/>
      <c r="AD2" s="29"/>
      <c r="AE2" s="29"/>
      <c r="AF2" s="29"/>
      <c r="AG2" s="29"/>
      <c r="AH2" s="78"/>
      <c r="AI2" s="78"/>
      <c r="AJ2" s="78"/>
      <c r="AK2" s="78"/>
      <c r="AL2" s="78"/>
      <c r="AM2" s="78"/>
      <c r="AN2" s="29"/>
      <c r="AO2" s="29"/>
      <c r="AP2" s="29"/>
    </row>
    <row r="3" spans="3:42">
      <c r="S3" s="47" t="str">
        <f ca="1">"次回検定日： "&amp;TEXT(EDATE(G15,G14),"yyyy年ｍｍ月")</f>
        <v>次回検定日： 2017年04月</v>
      </c>
      <c r="T3" s="47"/>
      <c r="U3" s="47"/>
      <c r="V3" s="47"/>
      <c r="W3" s="181"/>
      <c r="X3" s="181"/>
      <c r="Y3" s="181"/>
      <c r="Z3" s="181"/>
      <c r="AA3" s="181"/>
      <c r="AB3" s="181"/>
      <c r="AC3" s="29"/>
      <c r="AD3" s="29"/>
      <c r="AE3" s="29"/>
      <c r="AF3" s="29"/>
      <c r="AG3" s="29"/>
      <c r="AH3" s="78"/>
      <c r="AI3" s="78"/>
      <c r="AJ3" s="78"/>
      <c r="AK3" s="78"/>
      <c r="AL3" s="78"/>
      <c r="AM3" s="78"/>
      <c r="AN3" s="29"/>
      <c r="AO3" s="29"/>
      <c r="AP3" s="29"/>
    </row>
    <row r="4" spans="3:42">
      <c r="S4" s="29" t="str">
        <f>"分解清掃日： "&amp;IF(G12="交換対象外","交換対象外",IF(G16="実施",G15,IF(G16="なし",G13,"不明")))</f>
        <v>分解清掃日： 交換対象外</v>
      </c>
      <c r="T4" s="47"/>
      <c r="U4" s="47"/>
      <c r="V4" s="47"/>
      <c r="W4" s="181"/>
      <c r="X4" s="181"/>
      <c r="Y4" s="181"/>
      <c r="Z4" s="181"/>
      <c r="AA4" s="181"/>
      <c r="AB4" s="181"/>
      <c r="AC4" s="29"/>
      <c r="AD4" s="29"/>
      <c r="AE4" s="29"/>
      <c r="AF4" s="29"/>
      <c r="AG4" s="29"/>
      <c r="AH4" s="78"/>
      <c r="AI4" s="78"/>
      <c r="AJ4" s="78"/>
      <c r="AK4" s="78"/>
      <c r="AL4" s="78"/>
      <c r="AM4" s="78"/>
      <c r="AN4" s="29"/>
      <c r="AO4" s="29"/>
      <c r="AP4" s="29"/>
    </row>
    <row r="5" spans="3:42">
      <c r="C5" s="337"/>
      <c r="D5" s="337"/>
      <c r="E5" s="337"/>
      <c r="F5" s="337"/>
      <c r="G5" s="337"/>
      <c r="H5" s="337"/>
      <c r="I5" s="337"/>
      <c r="J5" s="337"/>
      <c r="K5" s="337"/>
      <c r="L5" s="337"/>
      <c r="S5" s="17" t="str">
        <f>"検定範囲： "&amp;"("&amp;F64&amp;")"</f>
        <v>検定範囲： (1000μL - 200μL)</v>
      </c>
      <c r="T5" s="29"/>
      <c r="U5" s="29"/>
      <c r="V5" s="29"/>
      <c r="W5" s="47"/>
      <c r="X5" s="47" t="s">
        <v>116</v>
      </c>
      <c r="Y5" s="78"/>
      <c r="Z5" s="78"/>
      <c r="AA5" s="29"/>
      <c r="AB5" s="29"/>
      <c r="AC5" s="29"/>
      <c r="AD5" s="29"/>
      <c r="AE5" s="29"/>
      <c r="AF5" s="29"/>
      <c r="AG5" s="29"/>
      <c r="AH5" s="78"/>
      <c r="AI5" s="78"/>
      <c r="AJ5" s="78"/>
      <c r="AK5" s="78"/>
      <c r="AL5" s="78"/>
      <c r="AM5" s="78"/>
      <c r="AN5" s="29"/>
      <c r="AO5" s="29"/>
      <c r="AP5" s="29"/>
    </row>
    <row r="6" spans="3:42" hidden="1">
      <c r="C6" s="17" t="s">
        <v>118</v>
      </c>
      <c r="AH6" s="78"/>
      <c r="AI6" s="78"/>
      <c r="AJ6" s="78"/>
      <c r="AK6" s="78"/>
      <c r="AL6" s="78"/>
      <c r="AM6" s="78"/>
    </row>
    <row r="7" spans="3:42" hidden="1">
      <c r="C7" s="170" t="s">
        <v>114</v>
      </c>
      <c r="D7" s="170"/>
      <c r="E7" s="170"/>
      <c r="F7" s="170"/>
      <c r="G7" s="170" t="s">
        <v>115</v>
      </c>
      <c r="H7" s="170"/>
      <c r="I7" s="170"/>
      <c r="J7" s="170"/>
      <c r="K7" s="170"/>
      <c r="L7" s="170"/>
      <c r="O7" s="17" t="s">
        <v>120</v>
      </c>
      <c r="P7" s="17" t="s">
        <v>121</v>
      </c>
      <c r="AH7" s="78"/>
      <c r="AI7" s="78"/>
      <c r="AJ7" s="78"/>
      <c r="AK7" s="78"/>
      <c r="AL7" s="78"/>
      <c r="AM7" s="78"/>
    </row>
    <row r="8" spans="3:42" ht="14.25" hidden="1" customHeight="1">
      <c r="C8" s="174" t="s">
        <v>70</v>
      </c>
      <c r="D8" s="176"/>
      <c r="E8" s="176"/>
      <c r="F8" s="175"/>
      <c r="G8" s="174"/>
      <c r="H8" s="176"/>
      <c r="I8" s="176"/>
      <c r="J8" s="176"/>
      <c r="K8" s="176"/>
      <c r="L8" s="175"/>
      <c r="AH8" s="78"/>
      <c r="AI8" s="78"/>
      <c r="AJ8" s="78"/>
      <c r="AK8" s="78"/>
      <c r="AL8" s="78"/>
      <c r="AM8" s="78"/>
    </row>
    <row r="9" spans="3:42" ht="14.25" hidden="1" customHeight="1">
      <c r="C9" s="174" t="s">
        <v>71</v>
      </c>
      <c r="D9" s="176"/>
      <c r="E9" s="176"/>
      <c r="F9" s="175"/>
      <c r="G9" s="174" t="e">
        <f>INDEX([1]データ!A2:N13,MATCH(G8,[1]データ!A2:A13,0),2)</f>
        <v>#N/A</v>
      </c>
      <c r="H9" s="176"/>
      <c r="I9" s="176"/>
      <c r="J9" s="176"/>
      <c r="K9" s="176"/>
      <c r="L9" s="175"/>
      <c r="O9" s="17">
        <v>1</v>
      </c>
      <c r="P9" s="17" t="s">
        <v>81</v>
      </c>
      <c r="AH9" s="78"/>
      <c r="AI9" s="78"/>
      <c r="AJ9" s="78"/>
      <c r="AK9" s="78"/>
      <c r="AL9" s="78"/>
      <c r="AM9" s="78"/>
    </row>
    <row r="10" spans="3:42" ht="14.25" hidden="1" customHeight="1">
      <c r="C10" s="174" t="s">
        <v>72</v>
      </c>
      <c r="D10" s="176"/>
      <c r="E10" s="176"/>
      <c r="F10" s="175"/>
      <c r="G10" s="174" t="e">
        <f>INDEX([1]データ!A2:N13,MATCH(G8,[1]データ!A2:A13,0),7)</f>
        <v>#N/A</v>
      </c>
      <c r="H10" s="176"/>
      <c r="I10" s="176"/>
      <c r="J10" s="176"/>
      <c r="K10" s="176"/>
      <c r="L10" s="175"/>
      <c r="O10" s="17">
        <v>2</v>
      </c>
      <c r="P10" s="17" t="s">
        <v>82</v>
      </c>
      <c r="AH10" s="78"/>
      <c r="AI10" s="78"/>
      <c r="AJ10" s="78"/>
      <c r="AK10" s="78"/>
      <c r="AL10" s="78"/>
      <c r="AM10" s="78"/>
    </row>
    <row r="11" spans="3:42" ht="14.25" hidden="1" customHeight="1">
      <c r="C11" s="174" t="s">
        <v>73</v>
      </c>
      <c r="D11" s="176"/>
      <c r="E11" s="176"/>
      <c r="F11" s="175"/>
      <c r="G11" s="174" t="e">
        <f>INDEX([1]データ!A2:N13,MATCH(G8,[1]データ!A2:A13,0),8)</f>
        <v>#N/A</v>
      </c>
      <c r="H11" s="176"/>
      <c r="I11" s="176"/>
      <c r="J11" s="176"/>
      <c r="K11" s="176"/>
      <c r="L11" s="175"/>
      <c r="O11" s="17">
        <v>3</v>
      </c>
      <c r="P11" s="17" t="s">
        <v>83</v>
      </c>
      <c r="AH11" s="78"/>
      <c r="AI11" s="78"/>
      <c r="AJ11" s="78"/>
      <c r="AK11" s="78"/>
      <c r="AL11" s="78"/>
      <c r="AM11" s="78"/>
    </row>
    <row r="12" spans="3:42" ht="14.25" hidden="1" customHeight="1">
      <c r="C12" s="174" t="s">
        <v>74</v>
      </c>
      <c r="D12" s="176"/>
      <c r="E12" s="176"/>
      <c r="F12" s="175"/>
      <c r="G12" s="174" t="s">
        <v>125</v>
      </c>
      <c r="H12" s="176"/>
      <c r="I12" s="176"/>
      <c r="J12" s="176"/>
      <c r="K12" s="176"/>
      <c r="L12" s="175"/>
      <c r="O12" s="17">
        <v>4</v>
      </c>
      <c r="P12" s="17" t="s">
        <v>84</v>
      </c>
      <c r="AH12" s="78"/>
      <c r="AI12" s="78"/>
      <c r="AJ12" s="78"/>
      <c r="AK12" s="78"/>
      <c r="AL12" s="78"/>
      <c r="AM12" s="78"/>
    </row>
    <row r="13" spans="3:42" ht="14.25" hidden="1" customHeight="1">
      <c r="C13" s="174" t="s">
        <v>75</v>
      </c>
      <c r="D13" s="176"/>
      <c r="E13" s="176"/>
      <c r="F13" s="175"/>
      <c r="G13" s="365"/>
      <c r="H13" s="366"/>
      <c r="I13" s="366"/>
      <c r="J13" s="366"/>
      <c r="K13" s="366"/>
      <c r="L13" s="367"/>
      <c r="AH13" s="78"/>
      <c r="AI13" s="78"/>
      <c r="AJ13" s="78"/>
      <c r="AK13" s="78"/>
      <c r="AL13" s="78"/>
      <c r="AM13" s="78"/>
    </row>
    <row r="14" spans="3:42" ht="14.25" hidden="1" customHeight="1">
      <c r="C14" s="174" t="s">
        <v>112</v>
      </c>
      <c r="D14" s="176"/>
      <c r="E14" s="176"/>
      <c r="F14" s="175"/>
      <c r="G14" s="368">
        <v>6</v>
      </c>
      <c r="H14" s="369"/>
      <c r="I14" s="369"/>
      <c r="J14" s="369"/>
      <c r="K14" s="369"/>
      <c r="L14" s="370"/>
      <c r="AH14" s="78"/>
      <c r="AI14" s="78"/>
      <c r="AJ14" s="78"/>
      <c r="AK14" s="78"/>
      <c r="AL14" s="78"/>
      <c r="AM14" s="78"/>
    </row>
    <row r="15" spans="3:42" ht="14.25" hidden="1" customHeight="1">
      <c r="C15" s="174" t="s">
        <v>111</v>
      </c>
      <c r="D15" s="176"/>
      <c r="E15" s="176"/>
      <c r="F15" s="175"/>
      <c r="G15" s="374">
        <f ca="1">TODAY()</f>
        <v>42674</v>
      </c>
      <c r="H15" s="375"/>
      <c r="I15" s="375"/>
      <c r="J15" s="375"/>
      <c r="K15" s="375"/>
      <c r="L15" s="376"/>
      <c r="AH15" s="78"/>
      <c r="AI15" s="78"/>
      <c r="AJ15" s="78"/>
      <c r="AK15" s="78"/>
      <c r="AL15" s="78"/>
      <c r="AM15" s="78"/>
    </row>
    <row r="16" spans="3:42" ht="14.25" hidden="1" customHeight="1">
      <c r="C16" s="174" t="s">
        <v>113</v>
      </c>
      <c r="D16" s="176"/>
      <c r="E16" s="176"/>
      <c r="F16" s="175"/>
      <c r="G16" s="174" t="str">
        <f ca="1">IF(OR(AND(G14=12,(G13+330)&lt;G15),AND(G14=6,(G13+150)&lt;G15)),"実施 ","なし")</f>
        <v xml:space="preserve">実施 </v>
      </c>
      <c r="H16" s="176"/>
      <c r="I16" s="176"/>
      <c r="J16" s="176"/>
      <c r="K16" s="176"/>
      <c r="L16" s="175"/>
      <c r="AH16" s="78"/>
      <c r="AI16" s="78"/>
      <c r="AJ16" s="78"/>
      <c r="AK16" s="78"/>
      <c r="AL16" s="78"/>
      <c r="AM16" s="78"/>
    </row>
    <row r="17" spans="2:39" ht="14.25" hidden="1" customHeight="1">
      <c r="C17" s="174" t="s">
        <v>117</v>
      </c>
      <c r="D17" s="176"/>
      <c r="E17" s="176"/>
      <c r="F17" s="175"/>
      <c r="G17" s="174" t="e">
        <f>INDEX([1]データ!A2:O14,MATCH(検定記録書!G8,[1]データ!A2:A13,0),15)</f>
        <v>#N/A</v>
      </c>
      <c r="H17" s="176"/>
      <c r="I17" s="176"/>
      <c r="J17" s="176"/>
      <c r="K17" s="176"/>
      <c r="L17" s="175"/>
      <c r="AH17" s="78"/>
      <c r="AI17" s="78"/>
      <c r="AJ17" s="78"/>
      <c r="AK17" s="78"/>
      <c r="AL17" s="78"/>
      <c r="AM17" s="78"/>
    </row>
    <row r="18" spans="2:39" hidden="1">
      <c r="C18" s="77"/>
      <c r="D18" s="77"/>
      <c r="E18" s="77"/>
      <c r="F18" s="77"/>
      <c r="G18" s="77"/>
      <c r="H18" s="77"/>
      <c r="I18" s="77"/>
      <c r="J18" s="77"/>
      <c r="K18" s="77"/>
      <c r="L18" s="77"/>
      <c r="AH18" s="78"/>
      <c r="AI18" s="78"/>
      <c r="AJ18" s="78"/>
      <c r="AK18" s="78"/>
      <c r="AL18" s="78"/>
      <c r="AM18" s="78"/>
    </row>
    <row r="19" spans="2:39" hidden="1">
      <c r="C19" s="77" t="s">
        <v>119</v>
      </c>
      <c r="D19" s="77"/>
      <c r="E19" s="77"/>
      <c r="F19" s="77"/>
      <c r="G19" s="77"/>
      <c r="H19" s="77"/>
      <c r="I19" s="77"/>
      <c r="J19" s="77"/>
      <c r="K19" s="77"/>
      <c r="L19" s="77"/>
      <c r="AH19" s="78"/>
      <c r="AI19" s="78"/>
      <c r="AJ19" s="78"/>
      <c r="AK19" s="78"/>
      <c r="AL19" s="78"/>
      <c r="AM19" s="78"/>
    </row>
    <row r="20" spans="2:39" ht="14.25" hidden="1" customHeight="1">
      <c r="C20" s="76" t="s">
        <v>105</v>
      </c>
      <c r="D20" s="174" t="s">
        <v>104</v>
      </c>
      <c r="E20" s="176"/>
      <c r="F20" s="175"/>
      <c r="G20" s="174" t="s">
        <v>106</v>
      </c>
      <c r="H20" s="175"/>
      <c r="I20" s="103" t="s">
        <v>107</v>
      </c>
      <c r="J20" s="103" t="s">
        <v>108</v>
      </c>
      <c r="K20" s="76" t="s">
        <v>110</v>
      </c>
      <c r="L20" s="76" t="s">
        <v>109</v>
      </c>
      <c r="AH20" s="78"/>
      <c r="AI20" s="78"/>
      <c r="AJ20" s="78"/>
      <c r="AK20" s="78"/>
      <c r="AL20" s="78"/>
      <c r="AM20" s="78"/>
    </row>
    <row r="21" spans="2:39" ht="14.25" hidden="1" customHeight="1">
      <c r="C21" s="104" t="s">
        <v>86</v>
      </c>
      <c r="D21" s="174" t="s">
        <v>91</v>
      </c>
      <c r="E21" s="176"/>
      <c r="F21" s="175"/>
      <c r="G21" s="174" t="b">
        <v>0</v>
      </c>
      <c r="H21" s="175"/>
      <c r="I21" s="171">
        <f>COUNTIF($G$21:$G$22,TRUE)</f>
        <v>1</v>
      </c>
      <c r="J21" s="171">
        <f>COUNTIF($G$21:$G$22,FALSE)</f>
        <v>1</v>
      </c>
      <c r="K21" s="171" t="str">
        <f>IF(I21=1,"○","×")</f>
        <v>○</v>
      </c>
      <c r="L21" s="171" t="str">
        <f>IF(AND(G21=TRUE,K21="○"),"合格","不合格")</f>
        <v>不合格</v>
      </c>
      <c r="M21" s="182"/>
      <c r="AH21" s="78"/>
      <c r="AI21" s="78"/>
      <c r="AJ21" s="78"/>
      <c r="AK21" s="78"/>
      <c r="AL21" s="78"/>
      <c r="AM21" s="78"/>
    </row>
    <row r="22" spans="2:39" ht="14.25" hidden="1" customHeight="1">
      <c r="C22" s="105"/>
      <c r="D22" s="174" t="s">
        <v>92</v>
      </c>
      <c r="E22" s="176"/>
      <c r="F22" s="175"/>
      <c r="G22" s="174" t="b">
        <v>1</v>
      </c>
      <c r="H22" s="175"/>
      <c r="I22" s="172"/>
      <c r="J22" s="172"/>
      <c r="K22" s="172"/>
      <c r="L22" s="172"/>
      <c r="M22" s="182"/>
      <c r="AH22" s="78"/>
      <c r="AI22" s="78"/>
      <c r="AJ22" s="78"/>
      <c r="AK22" s="78"/>
      <c r="AL22" s="78"/>
      <c r="AM22" s="78"/>
    </row>
    <row r="23" spans="2:39" ht="14.25" hidden="1" customHeight="1">
      <c r="C23" s="104" t="s">
        <v>87</v>
      </c>
      <c r="D23" s="174" t="s">
        <v>93</v>
      </c>
      <c r="E23" s="176"/>
      <c r="F23" s="175"/>
      <c r="G23" s="174" t="b">
        <v>0</v>
      </c>
      <c r="H23" s="175"/>
      <c r="I23" s="171">
        <f>COUNTIF($G$23:$G$24,TRUE)</f>
        <v>0</v>
      </c>
      <c r="J23" s="171">
        <f>COUNTIF($G$23:$G$24,FALSE)</f>
        <v>2</v>
      </c>
      <c r="K23" s="171" t="str">
        <f>IF(I23=1,"○","×")</f>
        <v>×</v>
      </c>
      <c r="L23" s="171" t="str">
        <f>IF(AND(G23=TRUE,K23="○"),"合格","不合格")</f>
        <v>不合格</v>
      </c>
      <c r="M23" s="182"/>
      <c r="AH23" s="78"/>
      <c r="AI23" s="78"/>
      <c r="AJ23" s="78"/>
      <c r="AK23" s="78"/>
      <c r="AL23" s="78"/>
      <c r="AM23" s="78"/>
    </row>
    <row r="24" spans="2:39" ht="14.25" hidden="1" customHeight="1">
      <c r="C24" s="105"/>
      <c r="D24" s="174" t="s">
        <v>94</v>
      </c>
      <c r="E24" s="176"/>
      <c r="F24" s="175"/>
      <c r="G24" s="174" t="b">
        <v>0</v>
      </c>
      <c r="H24" s="175"/>
      <c r="I24" s="172"/>
      <c r="J24" s="172"/>
      <c r="K24" s="172"/>
      <c r="L24" s="172"/>
      <c r="M24" s="182"/>
      <c r="AH24" s="78"/>
      <c r="AI24" s="78"/>
      <c r="AJ24" s="78"/>
      <c r="AK24" s="78"/>
      <c r="AL24" s="78"/>
      <c r="AM24" s="78"/>
    </row>
    <row r="25" spans="2:39" ht="14.25" hidden="1" customHeight="1">
      <c r="C25" s="104" t="s">
        <v>88</v>
      </c>
      <c r="D25" s="174" t="s">
        <v>95</v>
      </c>
      <c r="E25" s="176"/>
      <c r="F25" s="175"/>
      <c r="G25" s="174" t="b">
        <v>0</v>
      </c>
      <c r="H25" s="175"/>
      <c r="I25" s="171">
        <f>COUNTIF($G$25:$G$29,TRUE)</f>
        <v>0</v>
      </c>
      <c r="J25" s="171">
        <f>COUNTIF($G$25:$G$29,FALSE)</f>
        <v>5</v>
      </c>
      <c r="K25" s="171" t="str">
        <f>IF(OR(AND(J25=4,G25=TRUE),AND(I25=4,G25=FALSE)),"○","×")</f>
        <v>×</v>
      </c>
      <c r="L25" s="171" t="str">
        <f>IF(K25="○","合格","不合格")</f>
        <v>不合格</v>
      </c>
      <c r="M25" s="182"/>
      <c r="AH25" s="78"/>
      <c r="AI25" s="78"/>
      <c r="AJ25" s="78"/>
      <c r="AK25" s="78"/>
      <c r="AL25" s="78"/>
      <c r="AM25" s="78"/>
    </row>
    <row r="26" spans="2:39" ht="14.25" hidden="1" customHeight="1">
      <c r="B26" s="94"/>
      <c r="C26" s="106"/>
      <c r="D26" s="174" t="s">
        <v>96</v>
      </c>
      <c r="E26" s="176"/>
      <c r="F26" s="175"/>
      <c r="G26" s="174" t="b">
        <v>0</v>
      </c>
      <c r="H26" s="175"/>
      <c r="I26" s="173"/>
      <c r="J26" s="173"/>
      <c r="K26" s="173"/>
      <c r="L26" s="173"/>
      <c r="M26" s="182"/>
      <c r="AH26" s="78"/>
      <c r="AI26" s="78"/>
      <c r="AJ26" s="78"/>
      <c r="AK26" s="78"/>
      <c r="AL26" s="78"/>
      <c r="AM26" s="78"/>
    </row>
    <row r="27" spans="2:39" ht="14.25" hidden="1" customHeight="1">
      <c r="B27" s="94"/>
      <c r="C27" s="106"/>
      <c r="D27" s="174" t="s">
        <v>97</v>
      </c>
      <c r="E27" s="176"/>
      <c r="F27" s="175"/>
      <c r="G27" s="174" t="b">
        <v>0</v>
      </c>
      <c r="H27" s="175"/>
      <c r="I27" s="173"/>
      <c r="J27" s="173"/>
      <c r="K27" s="173"/>
      <c r="L27" s="173"/>
      <c r="M27" s="182"/>
      <c r="AH27" s="78"/>
      <c r="AI27" s="78"/>
      <c r="AJ27" s="78"/>
      <c r="AK27" s="78"/>
      <c r="AL27" s="78"/>
      <c r="AM27" s="78"/>
    </row>
    <row r="28" spans="2:39" ht="14.25" hidden="1" customHeight="1">
      <c r="B28" s="94"/>
      <c r="C28" s="106"/>
      <c r="D28" s="174" t="s">
        <v>98</v>
      </c>
      <c r="E28" s="176"/>
      <c r="F28" s="175"/>
      <c r="G28" s="174" t="b">
        <v>0</v>
      </c>
      <c r="H28" s="175"/>
      <c r="I28" s="173"/>
      <c r="J28" s="173"/>
      <c r="K28" s="173"/>
      <c r="L28" s="173"/>
      <c r="M28" s="182"/>
      <c r="AH28" s="78"/>
      <c r="AI28" s="78"/>
      <c r="AJ28" s="78"/>
      <c r="AK28" s="78"/>
      <c r="AL28" s="78"/>
      <c r="AM28" s="78"/>
    </row>
    <row r="29" spans="2:39" ht="14.25" hidden="1" customHeight="1">
      <c r="B29" s="94"/>
      <c r="C29" s="105"/>
      <c r="D29" s="174" t="s">
        <v>99</v>
      </c>
      <c r="E29" s="176"/>
      <c r="F29" s="175"/>
      <c r="G29" s="174" t="b">
        <v>0</v>
      </c>
      <c r="H29" s="175"/>
      <c r="I29" s="172"/>
      <c r="J29" s="172"/>
      <c r="K29" s="172"/>
      <c r="L29" s="172"/>
      <c r="M29" s="182"/>
      <c r="AH29" s="78"/>
      <c r="AI29" s="78"/>
      <c r="AJ29" s="78"/>
      <c r="AK29" s="78"/>
      <c r="AL29" s="78"/>
      <c r="AM29" s="78"/>
    </row>
    <row r="30" spans="2:39" ht="14.25" hidden="1" customHeight="1">
      <c r="C30" s="104" t="s">
        <v>89</v>
      </c>
      <c r="D30" s="174" t="s">
        <v>90</v>
      </c>
      <c r="E30" s="176"/>
      <c r="F30" s="175"/>
      <c r="G30" s="174" t="b">
        <v>0</v>
      </c>
      <c r="H30" s="175"/>
      <c r="I30" s="171">
        <f>COUNTIF($G$30:$G$31,TRUE)</f>
        <v>0</v>
      </c>
      <c r="J30" s="171">
        <f>COUNTIF($G$30:$G$31,FALSE)</f>
        <v>2</v>
      </c>
      <c r="K30" s="171" t="str">
        <f>IF(OR(I30=1,AND(I30=0,I25=1)),"○","×")</f>
        <v>×</v>
      </c>
      <c r="L30" s="171" t="str">
        <f>IF(AND(G30=TRUE,K30="○"),"合格","不合格")</f>
        <v>不合格</v>
      </c>
      <c r="M30" s="182"/>
      <c r="AH30" s="78"/>
      <c r="AI30" s="78"/>
      <c r="AJ30" s="78"/>
      <c r="AK30" s="78"/>
      <c r="AL30" s="78"/>
      <c r="AM30" s="78"/>
    </row>
    <row r="31" spans="2:39" ht="14.25" hidden="1" customHeight="1">
      <c r="C31" s="105"/>
      <c r="D31" s="174" t="s">
        <v>100</v>
      </c>
      <c r="E31" s="176"/>
      <c r="F31" s="175"/>
      <c r="G31" s="174" t="b">
        <v>0</v>
      </c>
      <c r="H31" s="175"/>
      <c r="I31" s="172"/>
      <c r="J31" s="172"/>
      <c r="K31" s="172"/>
      <c r="L31" s="172"/>
      <c r="M31" s="182"/>
      <c r="AH31" s="78"/>
      <c r="AI31" s="78"/>
      <c r="AJ31" s="78"/>
      <c r="AK31" s="78"/>
      <c r="AL31" s="78"/>
      <c r="AM31" s="78"/>
    </row>
    <row r="32" spans="2:39" ht="14.25" hidden="1" customHeight="1">
      <c r="C32" s="104" t="s">
        <v>85</v>
      </c>
      <c r="D32" s="174" t="s">
        <v>101</v>
      </c>
      <c r="E32" s="176"/>
      <c r="F32" s="175"/>
      <c r="G32" s="174" t="b">
        <v>0</v>
      </c>
      <c r="H32" s="175"/>
      <c r="I32" s="171">
        <f>COUNTIF($G$32:$G$34,TRUE)</f>
        <v>0</v>
      </c>
      <c r="J32" s="171">
        <f>COUNTIF($G$32:$G$34,FALSE)</f>
        <v>3</v>
      </c>
      <c r="K32" s="171" t="str">
        <f>IF(I32=1,"○","×")</f>
        <v>×</v>
      </c>
      <c r="L32" s="171" t="str">
        <f>IF(AND(G34=FALSE,K32="○"),"合格","不合格")</f>
        <v>不合格</v>
      </c>
      <c r="M32" s="100"/>
      <c r="AH32" s="78"/>
      <c r="AI32" s="78"/>
      <c r="AJ32" s="78"/>
      <c r="AK32" s="78"/>
      <c r="AL32" s="78"/>
      <c r="AM32" s="78"/>
    </row>
    <row r="33" spans="3:39" ht="14.25" hidden="1" customHeight="1">
      <c r="C33" s="106"/>
      <c r="D33" s="174" t="s">
        <v>102</v>
      </c>
      <c r="E33" s="176"/>
      <c r="F33" s="175"/>
      <c r="G33" s="174" t="b">
        <v>0</v>
      </c>
      <c r="H33" s="175"/>
      <c r="I33" s="173"/>
      <c r="J33" s="173"/>
      <c r="K33" s="173"/>
      <c r="L33" s="173"/>
      <c r="M33" s="99"/>
      <c r="AH33" s="78"/>
      <c r="AI33" s="78"/>
      <c r="AJ33" s="78"/>
      <c r="AK33" s="78"/>
      <c r="AL33" s="78"/>
      <c r="AM33" s="78"/>
    </row>
    <row r="34" spans="3:39" ht="14.25" hidden="1" customHeight="1">
      <c r="C34" s="105"/>
      <c r="D34" s="174" t="s">
        <v>103</v>
      </c>
      <c r="E34" s="176"/>
      <c r="F34" s="175"/>
      <c r="G34" s="174" t="b">
        <v>0</v>
      </c>
      <c r="H34" s="175"/>
      <c r="I34" s="172"/>
      <c r="J34" s="172"/>
      <c r="K34" s="172"/>
      <c r="L34" s="172"/>
      <c r="M34" s="109" t="str">
        <f>IF(COUNTIF(K21:K34,"○")=5,"OK","")</f>
        <v/>
      </c>
      <c r="AH34" s="78"/>
      <c r="AI34" s="78"/>
      <c r="AJ34" s="78"/>
      <c r="AK34" s="78"/>
      <c r="AL34" s="78"/>
      <c r="AM34" s="78"/>
    </row>
    <row r="35" spans="3:39" hidden="1">
      <c r="K35" s="110"/>
      <c r="AH35" s="78"/>
      <c r="AI35" s="78"/>
      <c r="AJ35" s="78"/>
      <c r="AK35" s="78"/>
      <c r="AL35" s="78"/>
      <c r="AM35" s="78"/>
    </row>
    <row r="36" spans="3:39" hidden="1">
      <c r="C36" s="17" t="s">
        <v>122</v>
      </c>
      <c r="AH36" s="78"/>
      <c r="AI36" s="78"/>
      <c r="AJ36" s="78"/>
      <c r="AK36" s="78"/>
      <c r="AL36" s="78"/>
      <c r="AM36" s="78"/>
    </row>
    <row r="37" spans="3:39" hidden="1">
      <c r="C37" s="17" t="s">
        <v>123</v>
      </c>
      <c r="K37" s="17">
        <f>COUNTBLANK(H91:H95)</f>
        <v>5</v>
      </c>
      <c r="M37" s="111" t="str">
        <f>IF(K37=0,"OK","")</f>
        <v/>
      </c>
      <c r="AH37" s="78"/>
      <c r="AI37" s="78"/>
      <c r="AJ37" s="78"/>
      <c r="AK37" s="78"/>
      <c r="AL37" s="78"/>
      <c r="AM37" s="78"/>
    </row>
    <row r="38" spans="3:39" hidden="1">
      <c r="C38" s="17" t="s">
        <v>124</v>
      </c>
      <c r="K38" s="17">
        <f>COUNTBLANK(P91:P95)</f>
        <v>5</v>
      </c>
      <c r="M38" s="79" t="str">
        <f>IF(K38=0,"OK","")</f>
        <v/>
      </c>
      <c r="AH38" s="78"/>
      <c r="AI38" s="78"/>
      <c r="AJ38" s="78"/>
      <c r="AK38" s="78"/>
      <c r="AL38" s="78"/>
      <c r="AM38" s="78"/>
    </row>
    <row r="39" spans="3:39" hidden="1">
      <c r="AH39" s="78"/>
      <c r="AI39" s="78"/>
      <c r="AJ39" s="78"/>
      <c r="AK39" s="78"/>
      <c r="AL39" s="78"/>
      <c r="AM39" s="78"/>
    </row>
    <row r="40" spans="3:39" hidden="1">
      <c r="AH40" s="78"/>
      <c r="AI40" s="78"/>
      <c r="AJ40" s="78"/>
      <c r="AK40" s="78"/>
      <c r="AL40" s="78"/>
      <c r="AM40" s="78"/>
    </row>
    <row r="41" spans="3:39" hidden="1">
      <c r="AH41" s="78"/>
      <c r="AI41" s="78"/>
      <c r="AJ41" s="78"/>
      <c r="AK41" s="78"/>
      <c r="AL41" s="78"/>
      <c r="AM41" s="78"/>
    </row>
    <row r="42" spans="3:39" hidden="1">
      <c r="AH42" s="78"/>
      <c r="AI42" s="78"/>
      <c r="AJ42" s="78"/>
      <c r="AK42" s="78"/>
      <c r="AL42" s="78"/>
      <c r="AM42" s="78"/>
    </row>
    <row r="43" spans="3:39" hidden="1">
      <c r="AH43" s="78"/>
      <c r="AI43" s="78"/>
      <c r="AJ43" s="78"/>
      <c r="AK43" s="78"/>
      <c r="AL43" s="78"/>
      <c r="AM43" s="78"/>
    </row>
    <row r="44" spans="3:39" hidden="1">
      <c r="AH44" s="78"/>
      <c r="AI44" s="78"/>
      <c r="AJ44" s="78"/>
      <c r="AK44" s="78"/>
      <c r="AL44" s="78"/>
      <c r="AM44" s="78"/>
    </row>
    <row r="45" spans="3:39" hidden="1">
      <c r="AH45" s="78"/>
      <c r="AI45" s="78"/>
      <c r="AJ45" s="78"/>
      <c r="AK45" s="78"/>
      <c r="AL45" s="78"/>
      <c r="AM45" s="78"/>
    </row>
    <row r="46" spans="3:39" hidden="1">
      <c r="AH46" s="78"/>
      <c r="AI46" s="78"/>
      <c r="AJ46" s="78"/>
      <c r="AK46" s="78"/>
      <c r="AL46" s="78"/>
      <c r="AM46" s="78"/>
    </row>
    <row r="47" spans="3:39" hidden="1">
      <c r="AH47" s="78"/>
      <c r="AI47" s="78"/>
      <c r="AJ47" s="78"/>
      <c r="AK47" s="78"/>
      <c r="AL47" s="78"/>
      <c r="AM47" s="78"/>
    </row>
    <row r="48" spans="3:39" hidden="1">
      <c r="AH48" s="78"/>
      <c r="AI48" s="78"/>
      <c r="AJ48" s="78"/>
      <c r="AK48" s="78"/>
      <c r="AL48" s="78"/>
      <c r="AM48" s="78"/>
    </row>
    <row r="49" spans="1:45" ht="15" thickBot="1">
      <c r="AH49" s="78"/>
      <c r="AI49" s="78"/>
      <c r="AJ49" s="78"/>
      <c r="AK49" s="78"/>
      <c r="AL49" s="78"/>
      <c r="AM49" s="78"/>
    </row>
    <row r="50" spans="1:45" s="1" customFormat="1" ht="12" customHeight="1">
      <c r="A50" s="348"/>
      <c r="B50" s="349"/>
      <c r="C50" s="349"/>
      <c r="D50" s="349"/>
      <c r="E50" s="349"/>
      <c r="F50" s="349"/>
      <c r="G50" s="350"/>
      <c r="H50" s="357"/>
      <c r="I50" s="358"/>
      <c r="J50" s="4"/>
      <c r="K50" s="4"/>
      <c r="L50" s="4"/>
      <c r="M50" s="4"/>
      <c r="N50" s="4"/>
      <c r="O50" s="4"/>
      <c r="P50" s="4"/>
      <c r="Q50" s="4"/>
      <c r="R50" s="19"/>
      <c r="S50" s="20"/>
      <c r="T50" s="3"/>
      <c r="U50" s="3"/>
      <c r="V50" s="21"/>
      <c r="W50" s="21"/>
      <c r="X50" s="22"/>
      <c r="Y50" s="83"/>
      <c r="Z50" s="2"/>
      <c r="AA50" s="16"/>
      <c r="AH50" s="78"/>
      <c r="AI50" s="78"/>
      <c r="AJ50" s="78"/>
      <c r="AK50" s="78"/>
      <c r="AL50" s="78"/>
      <c r="AM50" s="78"/>
    </row>
    <row r="51" spans="1:45" s="1" customFormat="1" ht="21.75" customHeight="1">
      <c r="A51" s="351"/>
      <c r="B51" s="352"/>
      <c r="C51" s="352"/>
      <c r="D51" s="352"/>
      <c r="E51" s="352"/>
      <c r="F51" s="352"/>
      <c r="G51" s="353"/>
      <c r="H51" s="359" t="s">
        <v>5</v>
      </c>
      <c r="I51" s="360"/>
      <c r="J51" s="360"/>
      <c r="K51" s="360"/>
      <c r="L51" s="360"/>
      <c r="M51" s="360"/>
      <c r="N51" s="360"/>
      <c r="O51" s="360"/>
      <c r="P51" s="360"/>
      <c r="Q51" s="360"/>
      <c r="R51" s="361"/>
      <c r="S51" s="334" t="s">
        <v>126</v>
      </c>
      <c r="T51" s="335"/>
      <c r="U51" s="335"/>
      <c r="V51" s="335"/>
      <c r="W51" s="335"/>
      <c r="X51" s="336"/>
      <c r="Y51" s="2"/>
      <c r="Z51" s="2"/>
      <c r="AA51" s="16"/>
      <c r="AH51" s="78"/>
      <c r="AI51" s="78"/>
      <c r="AJ51" s="78"/>
      <c r="AK51" s="78"/>
      <c r="AL51" s="78"/>
      <c r="AM51" s="78"/>
      <c r="AS51" s="112"/>
    </row>
    <row r="52" spans="1:45" s="1" customFormat="1" ht="21.75" customHeight="1">
      <c r="A52" s="351"/>
      <c r="B52" s="352"/>
      <c r="C52" s="352"/>
      <c r="D52" s="352"/>
      <c r="E52" s="352"/>
      <c r="F52" s="352"/>
      <c r="G52" s="353"/>
      <c r="H52" s="359"/>
      <c r="I52" s="360"/>
      <c r="J52" s="360"/>
      <c r="K52" s="360"/>
      <c r="L52" s="360"/>
      <c r="M52" s="360"/>
      <c r="N52" s="360"/>
      <c r="O52" s="360"/>
      <c r="P52" s="360"/>
      <c r="Q52" s="360"/>
      <c r="R52" s="361"/>
      <c r="S52" s="334"/>
      <c r="T52" s="335"/>
      <c r="U52" s="335"/>
      <c r="V52" s="335"/>
      <c r="W52" s="335"/>
      <c r="X52" s="336"/>
      <c r="Y52" s="2"/>
      <c r="Z52" s="2"/>
      <c r="AA52" s="16"/>
      <c r="AH52" s="78"/>
      <c r="AI52" s="78"/>
      <c r="AJ52" s="78"/>
      <c r="AK52" s="78"/>
      <c r="AL52" s="78"/>
      <c r="AM52" s="78"/>
      <c r="AS52" s="112"/>
    </row>
    <row r="53" spans="1:45" s="1" customFormat="1" ht="4.5" customHeight="1">
      <c r="A53" s="354"/>
      <c r="B53" s="355"/>
      <c r="C53" s="355"/>
      <c r="D53" s="355"/>
      <c r="E53" s="355"/>
      <c r="F53" s="355"/>
      <c r="G53" s="356"/>
      <c r="H53" s="6"/>
      <c r="I53" s="6"/>
      <c r="J53" s="6"/>
      <c r="K53" s="6"/>
      <c r="L53" s="6"/>
      <c r="M53" s="6"/>
      <c r="N53" s="6"/>
      <c r="O53" s="6"/>
      <c r="P53" s="6"/>
      <c r="Q53" s="6"/>
      <c r="R53" s="7"/>
      <c r="S53" s="8"/>
      <c r="T53" s="8"/>
      <c r="U53" s="8"/>
      <c r="V53" s="8"/>
      <c r="W53" s="8"/>
      <c r="X53" s="97"/>
      <c r="Y53" s="2"/>
      <c r="Z53" s="2"/>
      <c r="AA53" s="16"/>
      <c r="AH53" s="2"/>
      <c r="AI53" s="2"/>
      <c r="AJ53" s="2"/>
      <c r="AK53" s="2"/>
      <c r="AL53" s="2"/>
      <c r="AM53" s="2"/>
    </row>
    <row r="54" spans="1:45" s="1" customFormat="1" ht="13.5" customHeight="1">
      <c r="A54" s="5"/>
      <c r="B54" s="362" t="s">
        <v>4</v>
      </c>
      <c r="C54" s="362"/>
      <c r="D54" s="362"/>
      <c r="E54" s="362"/>
      <c r="F54" s="362"/>
      <c r="G54" s="9"/>
      <c r="H54" s="339" t="s">
        <v>16</v>
      </c>
      <c r="I54" s="340"/>
      <c r="J54" s="345" t="s">
        <v>61</v>
      </c>
      <c r="K54" s="345"/>
      <c r="L54" s="345"/>
      <c r="M54" s="345"/>
      <c r="N54" s="345"/>
      <c r="O54" s="345"/>
      <c r="P54" s="345"/>
      <c r="Q54" s="10"/>
      <c r="R54" s="11"/>
      <c r="S54" s="321" t="s">
        <v>18</v>
      </c>
      <c r="T54" s="322"/>
      <c r="U54" s="322"/>
      <c r="V54" s="322"/>
      <c r="W54" s="322"/>
      <c r="X54" s="323"/>
      <c r="Y54" s="2"/>
      <c r="Z54" s="2"/>
      <c r="AA54" s="16"/>
      <c r="AB54" s="15"/>
      <c r="AH54" s="2"/>
      <c r="AI54" s="2"/>
      <c r="AJ54" s="2"/>
      <c r="AK54" s="2"/>
      <c r="AL54" s="2"/>
      <c r="AM54" s="2"/>
      <c r="AN54" s="15"/>
    </row>
    <row r="55" spans="1:45" s="1" customFormat="1" ht="13.5" customHeight="1">
      <c r="A55" s="5"/>
      <c r="B55" s="363"/>
      <c r="C55" s="363"/>
      <c r="D55" s="363"/>
      <c r="E55" s="363"/>
      <c r="F55" s="363"/>
      <c r="G55" s="9"/>
      <c r="H55" s="341"/>
      <c r="I55" s="342"/>
      <c r="J55" s="346"/>
      <c r="K55" s="346"/>
      <c r="L55" s="346"/>
      <c r="M55" s="346"/>
      <c r="N55" s="346"/>
      <c r="O55" s="346"/>
      <c r="P55" s="346"/>
      <c r="Q55" s="10"/>
      <c r="R55" s="11"/>
      <c r="S55" s="324"/>
      <c r="T55" s="325"/>
      <c r="U55" s="325"/>
      <c r="V55" s="325"/>
      <c r="W55" s="325"/>
      <c r="X55" s="326"/>
      <c r="Y55" s="2"/>
      <c r="Z55" s="2"/>
      <c r="AA55" s="16"/>
      <c r="AH55" s="2"/>
      <c r="AI55" s="2"/>
      <c r="AJ55" s="2"/>
      <c r="AK55" s="2"/>
      <c r="AL55" s="2"/>
      <c r="AM55" s="2"/>
    </row>
    <row r="56" spans="1:45" s="1" customFormat="1" ht="13.5" customHeight="1" thickBot="1">
      <c r="A56" s="23"/>
      <c r="B56" s="364"/>
      <c r="C56" s="364"/>
      <c r="D56" s="364"/>
      <c r="E56" s="364"/>
      <c r="F56" s="364"/>
      <c r="G56" s="24"/>
      <c r="H56" s="343"/>
      <c r="I56" s="344"/>
      <c r="J56" s="347"/>
      <c r="K56" s="347"/>
      <c r="L56" s="347"/>
      <c r="M56" s="347"/>
      <c r="N56" s="347"/>
      <c r="O56" s="347"/>
      <c r="P56" s="347"/>
      <c r="Q56" s="25"/>
      <c r="R56" s="26"/>
      <c r="S56" s="327"/>
      <c r="T56" s="328"/>
      <c r="U56" s="328"/>
      <c r="V56" s="328"/>
      <c r="W56" s="328"/>
      <c r="X56" s="329"/>
      <c r="Y56" s="2"/>
      <c r="Z56" s="2"/>
      <c r="AA56" s="16"/>
      <c r="AH56" s="2"/>
      <c r="AI56" s="2"/>
      <c r="AJ56" s="2"/>
      <c r="AK56" s="2"/>
      <c r="AL56" s="2"/>
      <c r="AM56" s="2"/>
    </row>
    <row r="57" spans="1:45" s="1" customFormat="1" ht="4.5" customHeight="1">
      <c r="A57" s="15"/>
      <c r="B57" s="15"/>
      <c r="C57" s="15"/>
      <c r="D57" s="15"/>
      <c r="E57" s="15"/>
      <c r="F57" s="15"/>
      <c r="G57" s="15"/>
      <c r="H57" s="15"/>
      <c r="I57" s="15"/>
      <c r="J57" s="15"/>
      <c r="K57" s="15"/>
      <c r="L57" s="15"/>
      <c r="M57" s="15"/>
      <c r="N57" s="15"/>
      <c r="O57" s="15"/>
      <c r="P57" s="15"/>
      <c r="Q57" s="15"/>
      <c r="R57" s="15"/>
      <c r="S57" s="15"/>
      <c r="T57" s="15"/>
      <c r="U57" s="15"/>
      <c r="V57" s="15"/>
      <c r="W57" s="15"/>
      <c r="X57" s="95"/>
      <c r="Y57" s="2"/>
      <c r="Z57" s="2"/>
      <c r="AA57" s="15"/>
      <c r="AB57" s="15"/>
      <c r="AH57" s="2"/>
      <c r="AI57" s="2"/>
      <c r="AJ57" s="2"/>
      <c r="AK57" s="2"/>
      <c r="AL57" s="2"/>
      <c r="AM57" s="2"/>
      <c r="AN57" s="15"/>
    </row>
    <row r="58" spans="1:45">
      <c r="A58" s="27"/>
      <c r="B58" s="13" t="s">
        <v>13</v>
      </c>
      <c r="C58" s="14"/>
      <c r="D58" s="14"/>
      <c r="E58" s="13"/>
      <c r="F58" s="14"/>
      <c r="G58" s="14"/>
      <c r="H58" s="14"/>
      <c r="I58" s="14"/>
      <c r="J58" s="14"/>
      <c r="K58" s="14"/>
      <c r="L58" s="14"/>
      <c r="M58" s="14"/>
      <c r="N58" s="14"/>
      <c r="O58" s="14"/>
      <c r="P58" s="14"/>
      <c r="Q58" s="14"/>
      <c r="R58" s="13"/>
      <c r="S58" s="14"/>
      <c r="T58" s="13"/>
      <c r="U58" s="28"/>
      <c r="V58" s="28"/>
      <c r="W58" s="28"/>
      <c r="X58" s="96"/>
      <c r="Y58" s="78"/>
      <c r="Z58" s="78"/>
      <c r="AA58" s="29"/>
      <c r="AH58" s="2"/>
      <c r="AI58" s="2"/>
      <c r="AJ58" s="2"/>
      <c r="AK58" s="2"/>
      <c r="AL58" s="2"/>
      <c r="AM58" s="2"/>
    </row>
    <row r="59" spans="1:45">
      <c r="A59" s="27"/>
      <c r="B59" s="13" t="s">
        <v>39</v>
      </c>
      <c r="C59" s="13"/>
      <c r="D59" s="13"/>
      <c r="E59" s="13"/>
      <c r="F59" s="13"/>
      <c r="G59" s="13"/>
      <c r="H59" s="13"/>
      <c r="I59" s="13"/>
      <c r="J59" s="13"/>
      <c r="K59" s="13"/>
      <c r="L59" s="13"/>
      <c r="M59" s="13"/>
      <c r="N59" s="13"/>
      <c r="O59" s="13"/>
      <c r="P59" s="13"/>
      <c r="Q59" s="13"/>
      <c r="R59" s="13"/>
      <c r="S59" s="13"/>
      <c r="T59" s="13"/>
      <c r="U59" s="28"/>
      <c r="V59" s="28"/>
      <c r="W59" s="28"/>
      <c r="X59" s="96"/>
      <c r="AH59" s="2"/>
      <c r="AI59" s="2"/>
      <c r="AJ59" s="2"/>
      <c r="AK59" s="2"/>
      <c r="AL59" s="2"/>
      <c r="AM59" s="2"/>
    </row>
    <row r="60" spans="1:45">
      <c r="A60" s="27"/>
      <c r="B60" s="13" t="s">
        <v>14</v>
      </c>
      <c r="C60" s="13"/>
      <c r="D60" s="13"/>
      <c r="E60" s="13"/>
      <c r="F60" s="13"/>
      <c r="G60" s="13"/>
      <c r="H60" s="13"/>
      <c r="I60" s="13"/>
      <c r="J60" s="13"/>
      <c r="K60" s="13"/>
      <c r="L60" s="13"/>
      <c r="M60" s="13"/>
      <c r="N60" s="13"/>
      <c r="O60" s="13"/>
      <c r="P60" s="13"/>
      <c r="Q60" s="13"/>
      <c r="R60" s="13"/>
      <c r="S60" s="13"/>
      <c r="T60" s="13"/>
      <c r="U60" s="28"/>
      <c r="V60" s="28"/>
      <c r="W60" s="28"/>
      <c r="X60" s="96"/>
      <c r="AH60" s="2"/>
      <c r="AI60" s="2"/>
      <c r="AJ60" s="2"/>
      <c r="AK60" s="2"/>
      <c r="AL60" s="2"/>
      <c r="AM60" s="2"/>
    </row>
    <row r="61" spans="1:45" ht="15" thickBot="1">
      <c r="A61" s="27"/>
      <c r="B61" s="13"/>
      <c r="C61" s="13"/>
      <c r="D61" s="13"/>
      <c r="E61" s="13"/>
      <c r="F61" s="13"/>
      <c r="G61" s="13"/>
      <c r="H61" s="13"/>
      <c r="I61" s="13"/>
      <c r="J61" s="13"/>
      <c r="K61" s="13"/>
      <c r="L61" s="13"/>
      <c r="M61" s="13"/>
      <c r="N61" s="13"/>
      <c r="O61" s="13"/>
      <c r="P61" s="13"/>
      <c r="Q61" s="13"/>
      <c r="R61" s="13"/>
      <c r="S61" s="13"/>
      <c r="T61" s="13"/>
      <c r="U61" s="28"/>
      <c r="V61" s="28"/>
      <c r="W61" s="28"/>
      <c r="X61" s="96"/>
      <c r="AH61" s="78"/>
      <c r="AI61" s="78"/>
      <c r="AJ61" s="78"/>
      <c r="AK61" s="78"/>
      <c r="AL61" s="78"/>
      <c r="AM61" s="78"/>
    </row>
    <row r="62" spans="1:45" ht="24.75" customHeight="1">
      <c r="A62" s="377" t="s">
        <v>43</v>
      </c>
      <c r="B62" s="378"/>
      <c r="C62" s="378"/>
      <c r="D62" s="378"/>
      <c r="E62" s="378"/>
      <c r="F62" s="379" t="s">
        <v>6</v>
      </c>
      <c r="G62" s="379"/>
      <c r="H62" s="379"/>
      <c r="I62" s="379"/>
      <c r="J62" s="379"/>
      <c r="K62" s="379"/>
      <c r="L62" s="379" t="s">
        <v>42</v>
      </c>
      <c r="M62" s="379"/>
      <c r="N62" s="379"/>
      <c r="O62" s="379"/>
      <c r="P62" s="330">
        <v>42674</v>
      </c>
      <c r="Q62" s="330"/>
      <c r="R62" s="330"/>
      <c r="S62" s="330"/>
      <c r="T62" s="330"/>
      <c r="U62" s="330"/>
      <c r="V62" s="330"/>
      <c r="W62" s="330"/>
      <c r="X62" s="331"/>
      <c r="AB62" s="74"/>
      <c r="AC62" s="75"/>
      <c r="AD62" s="76"/>
      <c r="AE62" s="76"/>
      <c r="AH62" s="78"/>
      <c r="AI62" s="78"/>
      <c r="AJ62" s="78"/>
      <c r="AK62" s="78"/>
      <c r="AL62" s="78"/>
      <c r="AM62" s="78"/>
      <c r="AN62" s="56" t="s">
        <v>19</v>
      </c>
      <c r="AO62" s="56"/>
      <c r="AP62" s="56"/>
      <c r="AQ62" s="56"/>
      <c r="AR62" s="57"/>
      <c r="AS62" s="57"/>
    </row>
    <row r="63" spans="1:45" ht="24.75" customHeight="1">
      <c r="A63" s="266" t="s">
        <v>26</v>
      </c>
      <c r="B63" s="267"/>
      <c r="C63" s="267"/>
      <c r="D63" s="267"/>
      <c r="E63" s="267"/>
      <c r="F63" s="268" t="s">
        <v>195</v>
      </c>
      <c r="G63" s="269"/>
      <c r="H63" s="269"/>
      <c r="I63" s="269"/>
      <c r="J63" s="269"/>
      <c r="K63" s="270"/>
      <c r="L63" s="267" t="s">
        <v>21</v>
      </c>
      <c r="M63" s="267"/>
      <c r="N63" s="267"/>
      <c r="O63" s="267"/>
      <c r="P63" s="268" t="s">
        <v>196</v>
      </c>
      <c r="Q63" s="269"/>
      <c r="R63" s="269"/>
      <c r="S63" s="269"/>
      <c r="T63" s="269"/>
      <c r="U63" s="269"/>
      <c r="V63" s="269"/>
      <c r="W63" s="269"/>
      <c r="X63" s="333"/>
      <c r="AA63" s="77"/>
      <c r="AB63" s="77"/>
      <c r="AC63" s="77"/>
      <c r="AD63" s="77"/>
      <c r="AE63" s="77"/>
      <c r="AF63" s="77"/>
      <c r="AG63" s="77"/>
      <c r="AH63" s="78"/>
      <c r="AI63" s="78"/>
      <c r="AJ63" s="78"/>
      <c r="AK63" s="78"/>
      <c r="AL63" s="78"/>
      <c r="AM63" s="78"/>
      <c r="AN63" s="48" t="s">
        <v>22</v>
      </c>
      <c r="AO63" s="48"/>
      <c r="AP63" s="48"/>
      <c r="AQ63" s="48"/>
    </row>
    <row r="64" spans="1:45" ht="24.75" customHeight="1" thickBot="1">
      <c r="A64" s="380" t="s">
        <v>20</v>
      </c>
      <c r="B64" s="381"/>
      <c r="C64" s="381"/>
      <c r="D64" s="381"/>
      <c r="E64" s="381"/>
      <c r="F64" s="261" t="s">
        <v>198</v>
      </c>
      <c r="G64" s="262"/>
      <c r="H64" s="262"/>
      <c r="I64" s="262"/>
      <c r="J64" s="262"/>
      <c r="K64" s="262"/>
      <c r="L64" s="263"/>
      <c r="M64" s="264"/>
      <c r="N64" s="264"/>
      <c r="O64" s="265"/>
      <c r="P64" s="263"/>
      <c r="Q64" s="264"/>
      <c r="R64" s="264"/>
      <c r="S64" s="264"/>
      <c r="T64" s="264"/>
      <c r="U64" s="264"/>
      <c r="V64" s="264"/>
      <c r="W64" s="264"/>
      <c r="X64" s="332"/>
      <c r="AA64" s="77"/>
      <c r="AB64" s="77"/>
      <c r="AC64" s="77"/>
      <c r="AD64" s="77"/>
      <c r="AE64" s="77"/>
      <c r="AF64" s="77"/>
      <c r="AG64" s="78"/>
      <c r="AH64" s="78"/>
      <c r="AI64" s="78"/>
      <c r="AJ64" s="78"/>
      <c r="AK64" s="78"/>
      <c r="AL64" s="78"/>
      <c r="AM64" s="78"/>
      <c r="AN64" s="48"/>
      <c r="AO64" s="48"/>
      <c r="AP64" s="48"/>
      <c r="AQ64" s="48"/>
    </row>
    <row r="65" spans="1:45" ht="3" customHeight="1" thickBot="1">
      <c r="A65" s="41"/>
      <c r="B65" s="41"/>
      <c r="C65" s="41"/>
      <c r="D65" s="41"/>
      <c r="E65" s="41"/>
      <c r="F65" s="40"/>
      <c r="G65" s="40"/>
      <c r="H65" s="40"/>
      <c r="I65" s="40"/>
      <c r="J65" s="40"/>
      <c r="K65" s="40"/>
      <c r="L65" s="40"/>
      <c r="M65" s="40"/>
      <c r="N65" s="40"/>
      <c r="O65" s="40"/>
      <c r="P65" s="40"/>
      <c r="Q65" s="40"/>
      <c r="R65" s="40"/>
      <c r="S65" s="40"/>
      <c r="T65" s="40"/>
      <c r="U65" s="40"/>
      <c r="V65" s="40"/>
      <c r="W65" s="40"/>
      <c r="X65" s="40"/>
      <c r="AB65" s="79"/>
      <c r="AC65" s="317"/>
      <c r="AD65" s="317"/>
      <c r="AE65" s="317"/>
      <c r="AF65" s="317"/>
      <c r="AG65" s="79"/>
      <c r="AH65" s="84"/>
      <c r="AI65" s="85"/>
      <c r="AJ65" s="78"/>
      <c r="AK65" s="78"/>
      <c r="AL65" s="78"/>
      <c r="AM65" s="78"/>
      <c r="AN65" s="48"/>
      <c r="AO65" s="48"/>
      <c r="AP65" s="48"/>
      <c r="AQ65" s="48"/>
    </row>
    <row r="66" spans="1:45" ht="30" customHeight="1" thickBot="1">
      <c r="A66" s="371" t="s">
        <v>23</v>
      </c>
      <c r="B66" s="372"/>
      <c r="C66" s="372"/>
      <c r="D66" s="373"/>
      <c r="E66" s="42"/>
      <c r="F66" s="43"/>
      <c r="G66" s="43"/>
      <c r="H66" s="43"/>
      <c r="I66" s="43"/>
      <c r="J66" s="43"/>
      <c r="K66" s="43"/>
      <c r="L66" s="43"/>
      <c r="M66" s="338" t="s">
        <v>25</v>
      </c>
      <c r="N66" s="338"/>
      <c r="O66" s="338"/>
      <c r="P66" s="338"/>
      <c r="Q66" s="338"/>
      <c r="R66" s="42"/>
      <c r="S66" s="43"/>
      <c r="T66" s="43"/>
      <c r="U66" s="43"/>
      <c r="V66" s="43"/>
      <c r="W66" s="43"/>
      <c r="X66" s="44"/>
      <c r="AB66" s="79"/>
      <c r="AC66" s="318"/>
      <c r="AD66" s="318"/>
      <c r="AE66" s="318"/>
      <c r="AF66" s="318"/>
      <c r="AG66" s="79"/>
      <c r="AH66" s="78"/>
      <c r="AI66" s="78"/>
      <c r="AJ66" s="78"/>
      <c r="AK66" s="78"/>
      <c r="AL66" s="78"/>
      <c r="AM66" s="78"/>
      <c r="AN66" s="48" t="s">
        <v>24</v>
      </c>
      <c r="AO66" s="48"/>
      <c r="AP66" s="48"/>
      <c r="AQ66" s="48"/>
    </row>
    <row r="67" spans="1:45" ht="30" customHeight="1" thickBot="1">
      <c r="A67" s="273" t="s">
        <v>29</v>
      </c>
      <c r="B67" s="274"/>
      <c r="C67" s="274"/>
      <c r="D67" s="275"/>
      <c r="E67" s="73" t="s">
        <v>28</v>
      </c>
      <c r="F67" s="70"/>
      <c r="G67" s="70"/>
      <c r="H67" s="43"/>
      <c r="I67" s="214"/>
      <c r="J67" s="214"/>
      <c r="K67" s="214"/>
      <c r="L67" s="214"/>
      <c r="M67" s="214"/>
      <c r="N67" s="214"/>
      <c r="O67" s="214"/>
      <c r="P67" s="214"/>
      <c r="Q67" s="214"/>
      <c r="R67" s="215"/>
      <c r="S67" s="206" t="s">
        <v>27</v>
      </c>
      <c r="T67" s="207"/>
      <c r="U67" s="210"/>
      <c r="V67" s="210"/>
      <c r="W67" s="210"/>
      <c r="X67" s="211"/>
      <c r="AB67" s="79"/>
      <c r="AC67" s="317"/>
      <c r="AD67" s="317"/>
      <c r="AE67" s="317"/>
      <c r="AF67" s="317"/>
      <c r="AG67" s="79"/>
      <c r="AH67" s="78"/>
      <c r="AI67" s="78"/>
      <c r="AJ67" s="78"/>
      <c r="AK67" s="78"/>
      <c r="AL67" s="78"/>
      <c r="AM67" s="78"/>
      <c r="AN67" s="272" t="s">
        <v>30</v>
      </c>
      <c r="AO67" s="272"/>
      <c r="AP67" s="272"/>
      <c r="AQ67" s="272"/>
      <c r="AR67" s="272"/>
      <c r="AS67" s="272"/>
    </row>
    <row r="68" spans="1:45" ht="30" customHeight="1" thickBot="1">
      <c r="A68" s="276"/>
      <c r="B68" s="277"/>
      <c r="C68" s="277"/>
      <c r="D68" s="278"/>
      <c r="E68" s="71" t="s">
        <v>77</v>
      </c>
      <c r="F68" s="72"/>
      <c r="G68" s="72"/>
      <c r="H68" s="204"/>
      <c r="I68" s="204"/>
      <c r="J68" s="204"/>
      <c r="K68" s="204"/>
      <c r="L68" s="204"/>
      <c r="M68" s="204"/>
      <c r="N68" s="204"/>
      <c r="O68" s="204"/>
      <c r="P68" s="204"/>
      <c r="Q68" s="204"/>
      <c r="R68" s="205"/>
      <c r="S68" s="208"/>
      <c r="T68" s="209"/>
      <c r="U68" s="212"/>
      <c r="V68" s="212"/>
      <c r="W68" s="212"/>
      <c r="X68" s="213"/>
      <c r="AB68" s="79"/>
      <c r="AC68" s="317"/>
      <c r="AD68" s="317"/>
      <c r="AE68" s="317"/>
      <c r="AF68" s="317"/>
      <c r="AG68" s="79"/>
      <c r="AH68" s="78"/>
      <c r="AI68" s="319"/>
      <c r="AJ68" s="319"/>
      <c r="AK68" s="319"/>
      <c r="AL68" s="319"/>
      <c r="AM68" s="78"/>
      <c r="AN68" s="272"/>
      <c r="AO68" s="272"/>
      <c r="AP68" s="272"/>
      <c r="AQ68" s="272"/>
      <c r="AR68" s="272"/>
      <c r="AS68" s="272"/>
    </row>
    <row r="69" spans="1:45" ht="10.5" customHeight="1">
      <c r="A69" s="240" t="s">
        <v>79</v>
      </c>
      <c r="B69" s="241"/>
      <c r="C69" s="60"/>
      <c r="D69" s="61"/>
      <c r="E69" s="61"/>
      <c r="F69" s="61"/>
      <c r="G69" s="61"/>
      <c r="H69" s="61"/>
      <c r="I69" s="61"/>
      <c r="J69" s="61"/>
      <c r="K69" s="61"/>
      <c r="L69" s="61"/>
      <c r="M69" s="61"/>
      <c r="N69" s="61"/>
      <c r="O69" s="61"/>
      <c r="P69" s="61"/>
      <c r="Q69" s="61"/>
      <c r="R69" s="61"/>
      <c r="S69" s="61"/>
      <c r="T69" s="61"/>
      <c r="U69" s="61"/>
      <c r="V69" s="61"/>
      <c r="W69" s="61"/>
      <c r="X69" s="62"/>
      <c r="AA69" s="17" t="s">
        <v>64</v>
      </c>
      <c r="AG69" s="78"/>
      <c r="AH69" s="78"/>
      <c r="AI69" s="320"/>
      <c r="AJ69" s="320"/>
      <c r="AK69" s="320"/>
      <c r="AL69" s="320"/>
      <c r="AM69" s="78"/>
    </row>
    <row r="70" spans="1:45" ht="14.25" customHeight="1">
      <c r="A70" s="242"/>
      <c r="B70" s="243"/>
      <c r="C70" s="45"/>
      <c r="D70" s="18"/>
      <c r="E70" s="30"/>
      <c r="F70" s="30"/>
      <c r="G70" s="18"/>
      <c r="H70" s="18"/>
      <c r="I70" s="18"/>
      <c r="J70" s="18"/>
      <c r="K70" s="18"/>
      <c r="L70" s="18"/>
      <c r="M70" s="18"/>
      <c r="N70" s="18"/>
      <c r="O70" s="47"/>
      <c r="P70" s="47"/>
      <c r="Q70" s="18"/>
      <c r="R70" s="18"/>
      <c r="S70" s="18"/>
      <c r="T70" s="18"/>
      <c r="U70" s="18"/>
      <c r="V70" s="18"/>
      <c r="W70" s="18"/>
      <c r="X70" s="63"/>
      <c r="AB70" s="17" t="s">
        <v>65</v>
      </c>
      <c r="AC70" s="80" t="e">
        <f>INDEX([1]データ!A2:M13,MATCH(検定記録書!G8,[1]データ!A2:A13,0),5)</f>
        <v>#N/A</v>
      </c>
      <c r="AG70" s="78"/>
      <c r="AH70" s="78"/>
      <c r="AI70" s="319"/>
      <c r="AJ70" s="319"/>
      <c r="AK70" s="319"/>
      <c r="AL70" s="319"/>
      <c r="AM70" s="78"/>
    </row>
    <row r="71" spans="1:45" ht="24.75" customHeight="1">
      <c r="A71" s="242"/>
      <c r="B71" s="243"/>
      <c r="C71" s="45"/>
      <c r="D71" s="18"/>
      <c r="E71" s="30"/>
      <c r="F71" s="30"/>
      <c r="G71" s="55"/>
      <c r="H71" s="30"/>
      <c r="I71" s="30"/>
      <c r="J71" s="29"/>
      <c r="K71" s="53"/>
      <c r="L71" s="53"/>
      <c r="M71" s="53"/>
      <c r="N71" s="53"/>
      <c r="O71" s="54"/>
      <c r="P71" s="53"/>
      <c r="Q71" s="53"/>
      <c r="R71" s="53"/>
      <c r="S71" s="30"/>
      <c r="T71" s="30"/>
      <c r="U71" s="30"/>
      <c r="V71" s="30"/>
      <c r="W71" s="30"/>
      <c r="X71" s="31"/>
      <c r="AB71" s="79" t="s">
        <v>66</v>
      </c>
      <c r="AC71" s="81">
        <f>EDATE(Q62,[2]検定データ!I3)</f>
        <v>182</v>
      </c>
      <c r="AG71" s="77"/>
      <c r="AH71" s="78"/>
      <c r="AI71" s="319"/>
      <c r="AJ71" s="319"/>
      <c r="AK71" s="319"/>
      <c r="AL71" s="319"/>
      <c r="AM71" s="78"/>
    </row>
    <row r="72" spans="1:45" ht="24" customHeight="1">
      <c r="A72" s="242"/>
      <c r="B72" s="243"/>
      <c r="C72" s="45"/>
      <c r="D72" s="18"/>
      <c r="E72" s="30"/>
      <c r="F72" s="30"/>
      <c r="G72" s="55"/>
      <c r="H72" s="30"/>
      <c r="I72" s="30"/>
      <c r="J72" s="30"/>
      <c r="K72" s="30"/>
      <c r="L72" s="30"/>
      <c r="M72" s="30"/>
      <c r="N72" s="30"/>
      <c r="O72" s="30"/>
      <c r="P72" s="30"/>
      <c r="Q72" s="30"/>
      <c r="R72" s="30"/>
      <c r="S72" s="30"/>
      <c r="T72" s="30"/>
      <c r="U72" s="30"/>
      <c r="V72" s="30"/>
      <c r="W72" s="30"/>
      <c r="X72" s="31"/>
      <c r="AB72" s="79" t="s">
        <v>67</v>
      </c>
      <c r="AC72" s="82" t="e">
        <f>IF(I67&lt;=EDATE(Q62,-10),"true","false")</f>
        <v>#NUM!</v>
      </c>
      <c r="AH72" s="78"/>
      <c r="AI72" s="78"/>
      <c r="AJ72" s="78"/>
      <c r="AK72" s="78"/>
      <c r="AL72" s="78"/>
      <c r="AM72" s="78"/>
    </row>
    <row r="73" spans="1:45" ht="24" customHeight="1">
      <c r="A73" s="242"/>
      <c r="B73" s="243"/>
      <c r="C73" s="45"/>
      <c r="D73" s="18"/>
      <c r="E73" s="30"/>
      <c r="F73" s="30"/>
      <c r="G73" s="55"/>
      <c r="H73" s="30"/>
      <c r="I73" s="30"/>
      <c r="J73" s="30"/>
      <c r="K73" s="30"/>
      <c r="L73" s="30"/>
      <c r="M73" s="30"/>
      <c r="N73" s="30"/>
      <c r="O73" s="30"/>
      <c r="P73" s="30"/>
      <c r="Q73" s="30"/>
      <c r="R73" s="30"/>
      <c r="S73" s="30"/>
      <c r="T73" s="30"/>
      <c r="U73" s="30"/>
      <c r="V73" s="30"/>
      <c r="W73" s="30"/>
      <c r="X73" s="31"/>
      <c r="AH73" s="78"/>
      <c r="AI73" s="85"/>
      <c r="AJ73" s="78"/>
      <c r="AK73" s="78"/>
      <c r="AL73" s="78"/>
      <c r="AM73" s="78"/>
      <c r="AO73" s="18"/>
    </row>
    <row r="74" spans="1:45" ht="13.5" customHeight="1">
      <c r="A74" s="242"/>
      <c r="B74" s="243"/>
      <c r="C74" s="45"/>
      <c r="D74" s="18"/>
      <c r="E74" s="30"/>
      <c r="F74" s="30"/>
      <c r="G74" s="30"/>
      <c r="H74" s="30"/>
      <c r="I74" s="30"/>
      <c r="J74" s="30"/>
      <c r="K74" s="30"/>
      <c r="L74" s="30"/>
      <c r="M74" s="30"/>
      <c r="N74" s="30"/>
      <c r="O74" s="30"/>
      <c r="P74" s="30"/>
      <c r="Q74" s="30"/>
      <c r="R74" s="30"/>
      <c r="S74" s="30"/>
      <c r="T74" s="30"/>
      <c r="U74" s="30"/>
      <c r="V74" s="30"/>
      <c r="W74" s="30"/>
      <c r="X74" s="31"/>
      <c r="AH74" s="78"/>
      <c r="AI74" s="86"/>
      <c r="AJ74" s="78"/>
      <c r="AK74" s="78"/>
      <c r="AL74" s="78"/>
      <c r="AM74" s="78"/>
    </row>
    <row r="75" spans="1:45" ht="13.5" customHeight="1">
      <c r="A75" s="242"/>
      <c r="B75" s="243"/>
      <c r="C75" s="45"/>
      <c r="D75" s="18"/>
      <c r="E75" s="30"/>
      <c r="F75" s="30"/>
      <c r="G75" s="30"/>
      <c r="H75" s="30"/>
      <c r="I75" s="30"/>
      <c r="J75" s="30"/>
      <c r="K75" s="30"/>
      <c r="L75" s="30"/>
      <c r="M75" s="30"/>
      <c r="N75" s="30"/>
      <c r="O75" s="30"/>
      <c r="P75" s="30"/>
      <c r="Q75" s="30"/>
      <c r="R75" s="30"/>
      <c r="S75" s="30"/>
      <c r="T75" s="30"/>
      <c r="U75" s="30"/>
      <c r="V75" s="30"/>
      <c r="W75" s="30"/>
      <c r="X75" s="31"/>
      <c r="AH75" s="78"/>
      <c r="AI75" s="87"/>
      <c r="AJ75" s="78"/>
      <c r="AK75" s="78"/>
      <c r="AL75" s="78"/>
      <c r="AM75" s="78"/>
    </row>
    <row r="76" spans="1:45" ht="13.5" customHeight="1">
      <c r="A76" s="242"/>
      <c r="B76" s="243"/>
      <c r="C76" s="45"/>
      <c r="D76" s="18"/>
      <c r="E76" s="30"/>
      <c r="F76" s="30"/>
      <c r="G76" s="32"/>
      <c r="H76" s="30"/>
      <c r="I76" s="30"/>
      <c r="J76" s="30"/>
      <c r="K76" s="30"/>
      <c r="L76" s="30"/>
      <c r="M76" s="32"/>
      <c r="N76" s="30"/>
      <c r="O76" s="30"/>
      <c r="P76" s="30"/>
      <c r="Q76" s="30"/>
      <c r="R76" s="30"/>
      <c r="S76" s="30"/>
      <c r="T76" s="30"/>
      <c r="U76" s="30"/>
      <c r="V76" s="30"/>
      <c r="W76" s="30"/>
      <c r="X76" s="31"/>
      <c r="AH76" s="78"/>
      <c r="AI76" s="78"/>
      <c r="AJ76" s="78"/>
      <c r="AK76" s="78"/>
      <c r="AL76" s="78"/>
      <c r="AM76" s="78"/>
    </row>
    <row r="77" spans="1:45" ht="13.5" customHeight="1">
      <c r="A77" s="242"/>
      <c r="B77" s="243"/>
      <c r="C77" s="45"/>
      <c r="D77" s="18"/>
      <c r="E77" s="30"/>
      <c r="F77" s="30"/>
      <c r="G77" s="32"/>
      <c r="H77" s="30"/>
      <c r="I77" s="30"/>
      <c r="J77" s="30"/>
      <c r="K77" s="30"/>
      <c r="L77" s="30"/>
      <c r="M77" s="30"/>
      <c r="N77" s="30"/>
      <c r="O77" s="30"/>
      <c r="P77" s="30"/>
      <c r="Q77" s="30"/>
      <c r="R77" s="30"/>
      <c r="S77" s="30"/>
      <c r="T77" s="30"/>
      <c r="U77" s="30"/>
      <c r="V77" s="30"/>
      <c r="W77" s="30"/>
      <c r="X77" s="31"/>
      <c r="AH77" s="78"/>
      <c r="AI77" s="78"/>
      <c r="AJ77" s="78"/>
      <c r="AK77" s="78"/>
      <c r="AL77" s="78"/>
      <c r="AM77" s="78"/>
    </row>
    <row r="78" spans="1:45" ht="13.5" customHeight="1">
      <c r="A78" s="242"/>
      <c r="B78" s="243"/>
      <c r="C78" s="45"/>
      <c r="D78" s="18"/>
      <c r="E78" s="30"/>
      <c r="F78" s="30"/>
      <c r="G78" s="32"/>
      <c r="H78" s="30"/>
      <c r="I78" s="30"/>
      <c r="J78" s="30"/>
      <c r="K78" s="30"/>
      <c r="L78" s="30"/>
      <c r="M78" s="30"/>
      <c r="N78" s="30"/>
      <c r="O78" s="30"/>
      <c r="P78" s="30"/>
      <c r="Q78" s="30"/>
      <c r="R78" s="30"/>
      <c r="S78" s="30"/>
      <c r="T78" s="30"/>
      <c r="U78" s="30"/>
      <c r="V78" s="30"/>
      <c r="W78" s="30"/>
      <c r="X78" s="31"/>
      <c r="AH78" s="78"/>
      <c r="AI78" s="78"/>
      <c r="AJ78" s="78"/>
      <c r="AK78" s="78"/>
      <c r="AL78" s="78"/>
      <c r="AM78" s="78"/>
    </row>
    <row r="79" spans="1:45" ht="13.5" customHeight="1">
      <c r="A79" s="242"/>
      <c r="B79" s="243"/>
      <c r="C79" s="45"/>
      <c r="D79" s="18"/>
      <c r="E79" s="30"/>
      <c r="F79" s="30"/>
      <c r="G79" s="30"/>
      <c r="H79" s="30"/>
      <c r="I79" s="30"/>
      <c r="J79" s="30"/>
      <c r="K79" s="30"/>
      <c r="L79" s="30"/>
      <c r="M79" s="30"/>
      <c r="N79" s="30"/>
      <c r="O79" s="30"/>
      <c r="P79" s="30"/>
      <c r="Q79" s="30"/>
      <c r="R79" s="30"/>
      <c r="S79" s="30"/>
      <c r="T79" s="30"/>
      <c r="U79" s="30"/>
      <c r="V79" s="30"/>
      <c r="W79" s="30"/>
      <c r="X79" s="31"/>
      <c r="AH79" s="78"/>
      <c r="AI79" s="78"/>
      <c r="AJ79" s="78"/>
      <c r="AK79" s="78"/>
      <c r="AL79" s="78"/>
      <c r="AM79" s="78"/>
    </row>
    <row r="80" spans="1:45" ht="13.5" customHeight="1">
      <c r="A80" s="242"/>
      <c r="B80" s="243"/>
      <c r="C80" s="45"/>
      <c r="D80" s="18"/>
      <c r="E80" s="30"/>
      <c r="F80" s="30"/>
      <c r="G80" s="30"/>
      <c r="H80" s="30"/>
      <c r="I80" s="30"/>
      <c r="J80" s="30"/>
      <c r="K80" s="30"/>
      <c r="L80" s="30"/>
      <c r="M80" s="30"/>
      <c r="N80" s="30"/>
      <c r="O80" s="30"/>
      <c r="P80" s="30"/>
      <c r="Q80" s="30"/>
      <c r="R80" s="30"/>
      <c r="S80" s="30"/>
      <c r="T80" s="30"/>
      <c r="U80" s="30"/>
      <c r="V80" s="30"/>
      <c r="W80" s="30"/>
      <c r="X80" s="31"/>
      <c r="AH80" s="78"/>
      <c r="AI80" s="78"/>
      <c r="AJ80" s="78"/>
      <c r="AK80" s="78"/>
      <c r="AL80" s="78"/>
      <c r="AM80" s="78"/>
    </row>
    <row r="81" spans="1:47" ht="13.5" customHeight="1">
      <c r="A81" s="242"/>
      <c r="B81" s="243"/>
      <c r="C81" s="45"/>
      <c r="D81" s="18"/>
      <c r="E81" s="30"/>
      <c r="F81" s="30"/>
      <c r="G81" s="30"/>
      <c r="H81" s="30"/>
      <c r="I81" s="30"/>
      <c r="J81" s="30"/>
      <c r="K81" s="30"/>
      <c r="L81" s="30"/>
      <c r="M81" s="30"/>
      <c r="N81" s="30"/>
      <c r="O81" s="30"/>
      <c r="P81" s="30"/>
      <c r="Q81" s="30"/>
      <c r="R81" s="30"/>
      <c r="S81" s="30"/>
      <c r="T81" s="30"/>
      <c r="U81" s="30"/>
      <c r="V81" s="30"/>
      <c r="W81" s="30"/>
      <c r="X81" s="31"/>
      <c r="AH81" s="78"/>
      <c r="AI81" s="78"/>
      <c r="AJ81" s="78"/>
      <c r="AK81" s="78"/>
      <c r="AL81" s="78"/>
      <c r="AM81" s="78"/>
    </row>
    <row r="82" spans="1:47" ht="13.5" customHeight="1">
      <c r="A82" s="242"/>
      <c r="B82" s="243"/>
      <c r="C82" s="45"/>
      <c r="D82" s="18"/>
      <c r="E82" s="30"/>
      <c r="F82" s="30"/>
      <c r="G82" s="30"/>
      <c r="H82" s="30"/>
      <c r="I82" s="30"/>
      <c r="J82" s="30"/>
      <c r="K82" s="30"/>
      <c r="L82" s="30"/>
      <c r="M82" s="30"/>
      <c r="N82" s="30"/>
      <c r="O82" s="30"/>
      <c r="P82" s="30"/>
      <c r="Q82" s="30"/>
      <c r="R82" s="30"/>
      <c r="S82" s="30"/>
      <c r="T82" s="30"/>
      <c r="U82" s="30"/>
      <c r="V82" s="30"/>
      <c r="W82" s="30"/>
      <c r="X82" s="31"/>
      <c r="AH82" s="78"/>
      <c r="AI82" s="78"/>
      <c r="AJ82" s="78"/>
      <c r="AK82" s="78"/>
      <c r="AL82" s="78"/>
      <c r="AM82" s="78"/>
    </row>
    <row r="83" spans="1:47" ht="13.5" customHeight="1">
      <c r="A83" s="242"/>
      <c r="B83" s="243"/>
      <c r="C83" s="45"/>
      <c r="D83" s="18"/>
      <c r="E83" s="30"/>
      <c r="F83" s="30"/>
      <c r="G83" s="30"/>
      <c r="H83" s="30"/>
      <c r="I83" s="30"/>
      <c r="J83" s="30"/>
      <c r="K83" s="30"/>
      <c r="L83" s="30"/>
      <c r="M83" s="30"/>
      <c r="N83" s="30"/>
      <c r="O83" s="30"/>
      <c r="P83" s="30"/>
      <c r="Q83" s="30"/>
      <c r="R83" s="30"/>
      <c r="S83" s="30"/>
      <c r="T83" s="30"/>
      <c r="U83" s="30"/>
      <c r="V83" s="30"/>
      <c r="W83" s="30"/>
      <c r="X83" s="31"/>
      <c r="AB83" s="33"/>
      <c r="AC83" s="18"/>
      <c r="AD83" s="18"/>
      <c r="AE83" s="18"/>
      <c r="AF83" s="18"/>
      <c r="AH83" s="78"/>
      <c r="AI83" s="78"/>
      <c r="AJ83" s="78"/>
      <c r="AK83" s="78"/>
      <c r="AL83" s="78"/>
      <c r="AM83" s="78"/>
    </row>
    <row r="84" spans="1:47" ht="18.75">
      <c r="A84" s="244"/>
      <c r="B84" s="245"/>
      <c r="C84" s="45"/>
      <c r="D84" s="18"/>
      <c r="E84" s="30"/>
      <c r="F84" s="30"/>
      <c r="G84" s="30"/>
      <c r="H84" s="30"/>
      <c r="I84" s="30"/>
      <c r="J84" s="30"/>
      <c r="K84" s="30"/>
      <c r="L84" s="30"/>
      <c r="M84" s="30"/>
      <c r="N84" s="30"/>
      <c r="O84" s="30"/>
      <c r="P84" s="30"/>
      <c r="Q84" s="30"/>
      <c r="R84" s="30"/>
      <c r="S84" s="30"/>
      <c r="T84" s="30"/>
      <c r="U84" s="30"/>
      <c r="V84" s="30"/>
      <c r="W84" s="30"/>
      <c r="X84" s="31"/>
      <c r="AB84" s="33"/>
      <c r="AC84" s="18"/>
      <c r="AD84" s="18"/>
      <c r="AE84" s="18"/>
      <c r="AF84" s="18"/>
      <c r="AH84" s="78"/>
      <c r="AI84" s="78"/>
      <c r="AJ84" s="78"/>
      <c r="AK84" s="78"/>
      <c r="AL84" s="78"/>
      <c r="AM84" s="78"/>
      <c r="AN84" s="49" t="s">
        <v>35</v>
      </c>
      <c r="AO84" s="49"/>
      <c r="AP84" s="49"/>
      <c r="AQ84" s="49"/>
      <c r="AR84" s="49"/>
      <c r="AS84" s="49"/>
      <c r="AT84" s="49"/>
    </row>
    <row r="85" spans="1:47" ht="18.75">
      <c r="A85" s="244"/>
      <c r="B85" s="245"/>
      <c r="C85" s="45"/>
      <c r="D85" s="18"/>
      <c r="E85" s="30"/>
      <c r="F85" s="30"/>
      <c r="G85" s="30"/>
      <c r="H85" s="30"/>
      <c r="I85" s="30"/>
      <c r="J85" s="30"/>
      <c r="K85" s="30"/>
      <c r="L85" s="30"/>
      <c r="M85" s="30"/>
      <c r="N85" s="30"/>
      <c r="O85" s="30"/>
      <c r="P85" s="30"/>
      <c r="Q85" s="30"/>
      <c r="R85" s="30"/>
      <c r="S85" s="30"/>
      <c r="T85" s="30"/>
      <c r="U85" s="30"/>
      <c r="V85" s="30"/>
      <c r="W85" s="30"/>
      <c r="X85" s="31"/>
      <c r="AB85" s="33"/>
      <c r="AC85" s="18"/>
      <c r="AD85" s="18"/>
      <c r="AE85" s="18"/>
      <c r="AF85" s="18"/>
      <c r="AH85" s="78"/>
      <c r="AI85" s="78"/>
      <c r="AJ85" s="78"/>
      <c r="AK85" s="78"/>
      <c r="AL85" s="78"/>
      <c r="AM85" s="78"/>
      <c r="AN85" s="49" t="s">
        <v>31</v>
      </c>
      <c r="AO85" s="49"/>
      <c r="AP85" s="49"/>
      <c r="AQ85" s="49"/>
      <c r="AR85" s="49"/>
      <c r="AS85" s="49"/>
      <c r="AT85" s="49"/>
    </row>
    <row r="86" spans="1:47" ht="15.75" customHeight="1" thickBot="1">
      <c r="A86" s="244"/>
      <c r="B86" s="245"/>
      <c r="C86" s="45"/>
      <c r="D86" s="18"/>
      <c r="E86" s="30"/>
      <c r="F86" s="30"/>
      <c r="G86" s="30"/>
      <c r="H86" s="30"/>
      <c r="I86" s="30"/>
      <c r="J86" s="30"/>
      <c r="K86" s="30"/>
      <c r="L86" s="30"/>
      <c r="M86" s="30"/>
      <c r="N86" s="30"/>
      <c r="O86" s="30"/>
      <c r="P86" s="30"/>
      <c r="Q86" s="30"/>
      <c r="R86" s="30"/>
      <c r="S86" s="30"/>
      <c r="T86" s="30"/>
      <c r="U86" s="30"/>
      <c r="V86" s="30"/>
      <c r="W86" s="30"/>
      <c r="X86" s="31"/>
      <c r="AB86" s="33"/>
      <c r="AC86" s="18"/>
      <c r="AD86" s="18"/>
      <c r="AE86" s="18"/>
      <c r="AF86" s="18"/>
      <c r="AH86" s="88"/>
      <c r="AI86" s="89"/>
      <c r="AJ86" s="89"/>
      <c r="AK86" s="89"/>
      <c r="AL86" s="89"/>
      <c r="AN86" s="49" t="s">
        <v>32</v>
      </c>
      <c r="AO86" s="49"/>
      <c r="AP86" s="49"/>
      <c r="AQ86" s="49"/>
      <c r="AR86" s="49"/>
      <c r="AS86" s="49"/>
      <c r="AT86" s="49"/>
    </row>
    <row r="87" spans="1:47" ht="20.25" customHeight="1" thickBot="1">
      <c r="A87" s="244"/>
      <c r="B87" s="245"/>
      <c r="C87" s="45"/>
      <c r="D87" s="184" t="s">
        <v>57</v>
      </c>
      <c r="E87" s="185"/>
      <c r="F87" s="185"/>
      <c r="G87" s="186"/>
      <c r="H87" s="227"/>
      <c r="I87" s="228"/>
      <c r="J87" s="228"/>
      <c r="K87" s="185" t="s">
        <v>76</v>
      </c>
      <c r="L87" s="185"/>
      <c r="M87" s="185"/>
      <c r="N87" s="185"/>
      <c r="O87" s="185"/>
      <c r="P87" s="185" t="s">
        <v>60</v>
      </c>
      <c r="Q87" s="185"/>
      <c r="R87" s="185"/>
      <c r="S87" s="230"/>
      <c r="T87" s="230"/>
      <c r="U87" s="230"/>
      <c r="V87" s="230" t="s">
        <v>58</v>
      </c>
      <c r="W87" s="231"/>
      <c r="X87" s="31"/>
      <c r="AB87" s="33"/>
      <c r="AC87" s="18"/>
      <c r="AD87" s="18"/>
      <c r="AE87" s="18"/>
      <c r="AF87" s="18"/>
      <c r="AH87" s="88"/>
      <c r="AI87" s="89"/>
      <c r="AJ87" s="89"/>
      <c r="AK87" s="89"/>
      <c r="AL87" s="89"/>
      <c r="AN87" s="49" t="s">
        <v>36</v>
      </c>
      <c r="AO87" s="49"/>
      <c r="AP87" s="49"/>
      <c r="AQ87" s="49"/>
      <c r="AR87" s="49"/>
      <c r="AS87" s="49"/>
      <c r="AT87" s="49"/>
    </row>
    <row r="88" spans="1:47" ht="20.25" customHeight="1" thickBot="1">
      <c r="A88" s="244"/>
      <c r="B88" s="245"/>
      <c r="C88" s="45"/>
      <c r="D88" s="187" t="s">
        <v>51</v>
      </c>
      <c r="E88" s="188"/>
      <c r="F88" s="188"/>
      <c r="G88" s="189"/>
      <c r="H88" s="229" t="s">
        <v>127</v>
      </c>
      <c r="I88" s="224"/>
      <c r="J88" s="224"/>
      <c r="K88" s="224"/>
      <c r="L88" s="224"/>
      <c r="M88" s="224"/>
      <c r="N88" s="224"/>
      <c r="O88" s="224"/>
      <c r="P88" s="224" t="s">
        <v>128</v>
      </c>
      <c r="Q88" s="224"/>
      <c r="R88" s="224"/>
      <c r="S88" s="225"/>
      <c r="T88" s="224"/>
      <c r="U88" s="224"/>
      <c r="V88" s="224"/>
      <c r="W88" s="226"/>
      <c r="X88" s="31"/>
      <c r="Y88" s="78"/>
      <c r="Z88" s="78"/>
      <c r="AB88" s="33"/>
      <c r="AC88" s="18"/>
      <c r="AD88" s="18"/>
      <c r="AE88" s="18"/>
      <c r="AF88" s="18"/>
      <c r="AH88" s="88"/>
      <c r="AI88" s="89"/>
      <c r="AJ88" s="89"/>
      <c r="AK88" s="89"/>
      <c r="AL88" s="89"/>
      <c r="AN88" s="49" t="s">
        <v>33</v>
      </c>
      <c r="AO88" s="49"/>
      <c r="AP88" s="49"/>
      <c r="AQ88" s="49"/>
      <c r="AR88" s="49"/>
      <c r="AS88" s="49"/>
      <c r="AT88" s="49"/>
    </row>
    <row r="89" spans="1:47" ht="20.25" customHeight="1">
      <c r="A89" s="244"/>
      <c r="B89" s="245"/>
      <c r="C89" s="45"/>
      <c r="D89" s="190" t="s">
        <v>50</v>
      </c>
      <c r="E89" s="191"/>
      <c r="F89" s="191"/>
      <c r="G89" s="192"/>
      <c r="H89" s="216" t="s">
        <v>53</v>
      </c>
      <c r="I89" s="191"/>
      <c r="J89" s="191"/>
      <c r="K89" s="253">
        <v>1000</v>
      </c>
      <c r="L89" s="254"/>
      <c r="M89" s="254"/>
      <c r="N89" s="222" t="s">
        <v>47</v>
      </c>
      <c r="O89" s="223"/>
      <c r="P89" s="216" t="s">
        <v>54</v>
      </c>
      <c r="Q89" s="191"/>
      <c r="R89" s="191"/>
      <c r="S89" s="234">
        <v>200</v>
      </c>
      <c r="T89" s="235"/>
      <c r="U89" s="236"/>
      <c r="V89" s="232" t="s">
        <v>47</v>
      </c>
      <c r="W89" s="233"/>
      <c r="X89" s="31"/>
      <c r="Y89" s="78"/>
      <c r="Z89" s="78"/>
      <c r="AB89" s="33"/>
      <c r="AC89" s="18"/>
      <c r="AD89" s="18"/>
      <c r="AE89" s="18"/>
      <c r="AF89" s="18"/>
      <c r="AH89" s="88"/>
      <c r="AI89" s="89"/>
      <c r="AJ89" s="89"/>
      <c r="AK89" s="89"/>
      <c r="AL89" s="89"/>
      <c r="AN89" s="50" t="s">
        <v>34</v>
      </c>
      <c r="AO89" s="51"/>
      <c r="AP89" s="51"/>
      <c r="AQ89" s="51"/>
      <c r="AR89" s="51"/>
      <c r="AS89" s="51"/>
      <c r="AT89" s="51"/>
      <c r="AU89" s="18"/>
    </row>
    <row r="90" spans="1:47" ht="20.25" customHeight="1" thickBot="1">
      <c r="A90" s="244"/>
      <c r="B90" s="245"/>
      <c r="C90" s="46"/>
      <c r="D90" s="193"/>
      <c r="E90" s="194"/>
      <c r="F90" s="194"/>
      <c r="G90" s="195"/>
      <c r="H90" s="217" t="s">
        <v>55</v>
      </c>
      <c r="I90" s="194"/>
      <c r="J90" s="194"/>
      <c r="K90" s="179" t="s">
        <v>52</v>
      </c>
      <c r="L90" s="179"/>
      <c r="M90" s="179"/>
      <c r="N90" s="179"/>
      <c r="O90" s="180"/>
      <c r="P90" s="217" t="s">
        <v>56</v>
      </c>
      <c r="Q90" s="194"/>
      <c r="R90" s="194"/>
      <c r="S90" s="179" t="s">
        <v>52</v>
      </c>
      <c r="T90" s="179"/>
      <c r="U90" s="179"/>
      <c r="V90" s="179"/>
      <c r="W90" s="180"/>
      <c r="X90" s="31"/>
      <c r="Y90" s="78"/>
      <c r="Z90" s="78"/>
      <c r="AB90" s="33"/>
      <c r="AC90" s="18"/>
      <c r="AD90" s="18"/>
      <c r="AE90" s="18"/>
      <c r="AF90" s="18"/>
      <c r="AG90" s="18"/>
      <c r="AH90" s="88"/>
      <c r="AI90" s="89"/>
      <c r="AJ90" s="89"/>
      <c r="AK90" s="89"/>
      <c r="AL90" s="89"/>
      <c r="AN90" s="33"/>
      <c r="AO90" s="18"/>
      <c r="AP90" s="18"/>
      <c r="AQ90" s="18"/>
      <c r="AR90" s="18"/>
      <c r="AS90" s="18"/>
      <c r="AT90" s="18"/>
      <c r="AU90" s="18"/>
    </row>
    <row r="91" spans="1:47" ht="20.25" customHeight="1">
      <c r="A91" s="244"/>
      <c r="B91" s="245"/>
      <c r="C91" s="46"/>
      <c r="D91" s="312">
        <v>1</v>
      </c>
      <c r="E91" s="191"/>
      <c r="F91" s="191"/>
      <c r="G91" s="192"/>
      <c r="H91" s="218"/>
      <c r="I91" s="219"/>
      <c r="J91" s="219"/>
      <c r="K91" s="237"/>
      <c r="L91" s="237"/>
      <c r="M91" s="237"/>
      <c r="N91" s="237" t="s">
        <v>47</v>
      </c>
      <c r="O91" s="316"/>
      <c r="P91" s="218"/>
      <c r="Q91" s="219"/>
      <c r="R91" s="219"/>
      <c r="S91" s="237"/>
      <c r="T91" s="237"/>
      <c r="U91" s="237"/>
      <c r="V91" s="237" t="s">
        <v>47</v>
      </c>
      <c r="W91" s="316"/>
      <c r="X91" s="31"/>
      <c r="Y91" s="78"/>
      <c r="Z91" s="78"/>
      <c r="AB91" s="33"/>
      <c r="AC91" s="18"/>
      <c r="AD91" s="18"/>
      <c r="AE91" s="18"/>
      <c r="AF91" s="18"/>
      <c r="AG91" s="18"/>
      <c r="AH91" s="88"/>
      <c r="AI91" s="89"/>
      <c r="AJ91" s="89"/>
      <c r="AK91" s="89"/>
      <c r="AL91" s="89"/>
      <c r="AN91" s="33"/>
      <c r="AO91" s="18"/>
      <c r="AP91" s="18"/>
      <c r="AQ91" s="18"/>
      <c r="AR91" s="18"/>
      <c r="AS91" s="18"/>
      <c r="AT91" s="18"/>
      <c r="AU91" s="18"/>
    </row>
    <row r="92" spans="1:47" ht="20.25" customHeight="1">
      <c r="A92" s="246" t="s">
        <v>80</v>
      </c>
      <c r="B92" s="247"/>
      <c r="C92" s="46"/>
      <c r="D92" s="238">
        <v>2</v>
      </c>
      <c r="E92" s="239"/>
      <c r="F92" s="239"/>
      <c r="G92" s="256"/>
      <c r="H92" s="220"/>
      <c r="I92" s="221"/>
      <c r="J92" s="221"/>
      <c r="K92" s="177"/>
      <c r="L92" s="177"/>
      <c r="M92" s="177"/>
      <c r="N92" s="177" t="s">
        <v>47</v>
      </c>
      <c r="O92" s="178"/>
      <c r="P92" s="220"/>
      <c r="Q92" s="221"/>
      <c r="R92" s="221"/>
      <c r="S92" s="177"/>
      <c r="T92" s="177"/>
      <c r="U92" s="177"/>
      <c r="V92" s="177" t="s">
        <v>47</v>
      </c>
      <c r="W92" s="178"/>
      <c r="X92" s="31"/>
      <c r="Y92" s="78"/>
      <c r="Z92" s="78"/>
      <c r="AB92" s="33"/>
      <c r="AC92" s="18"/>
      <c r="AD92" s="18"/>
      <c r="AE92" s="18"/>
      <c r="AF92" s="18"/>
      <c r="AG92" s="18"/>
      <c r="AH92" s="88"/>
      <c r="AI92" s="89"/>
      <c r="AJ92" s="89"/>
      <c r="AK92" s="89"/>
      <c r="AL92" s="89"/>
      <c r="AN92" s="33"/>
      <c r="AO92" s="18"/>
      <c r="AP92" s="18"/>
      <c r="AQ92" s="18"/>
      <c r="AR92" s="18"/>
      <c r="AS92" s="18"/>
      <c r="AT92" s="18"/>
      <c r="AU92" s="18"/>
    </row>
    <row r="93" spans="1:47" ht="20.25" customHeight="1">
      <c r="A93" s="246"/>
      <c r="B93" s="247"/>
      <c r="C93" s="46"/>
      <c r="D93" s="238">
        <v>3</v>
      </c>
      <c r="E93" s="239"/>
      <c r="F93" s="239"/>
      <c r="G93" s="256"/>
      <c r="H93" s="220"/>
      <c r="I93" s="221"/>
      <c r="J93" s="221"/>
      <c r="K93" s="177"/>
      <c r="L93" s="177"/>
      <c r="M93" s="177"/>
      <c r="N93" s="177" t="s">
        <v>47</v>
      </c>
      <c r="O93" s="178"/>
      <c r="P93" s="220"/>
      <c r="Q93" s="221"/>
      <c r="R93" s="221"/>
      <c r="S93" s="177"/>
      <c r="T93" s="177"/>
      <c r="U93" s="177"/>
      <c r="V93" s="177" t="s">
        <v>47</v>
      </c>
      <c r="W93" s="178"/>
      <c r="X93" s="31"/>
      <c r="Y93" s="78"/>
      <c r="Z93" s="78"/>
      <c r="AB93" s="33"/>
      <c r="AC93" s="18"/>
      <c r="AD93" s="18"/>
      <c r="AE93" s="18"/>
      <c r="AF93" s="18"/>
      <c r="AG93" s="18"/>
      <c r="AH93" s="88"/>
      <c r="AI93" s="89"/>
      <c r="AJ93" s="89"/>
      <c r="AK93" s="89"/>
      <c r="AL93" s="89"/>
      <c r="AM93" s="89"/>
      <c r="AN93" s="33"/>
      <c r="AO93" s="18"/>
      <c r="AP93" s="18"/>
      <c r="AQ93" s="18"/>
      <c r="AR93" s="18"/>
      <c r="AS93" s="18"/>
      <c r="AT93" s="18"/>
      <c r="AU93" s="18"/>
    </row>
    <row r="94" spans="1:47" ht="20.25" customHeight="1">
      <c r="A94" s="246"/>
      <c r="B94" s="247"/>
      <c r="C94" s="46"/>
      <c r="D94" s="238">
        <v>4</v>
      </c>
      <c r="E94" s="239"/>
      <c r="F94" s="239"/>
      <c r="G94" s="256"/>
      <c r="H94" s="220"/>
      <c r="I94" s="221"/>
      <c r="J94" s="221"/>
      <c r="K94" s="177"/>
      <c r="L94" s="177"/>
      <c r="M94" s="177"/>
      <c r="N94" s="177" t="s">
        <v>47</v>
      </c>
      <c r="O94" s="178"/>
      <c r="P94" s="220"/>
      <c r="Q94" s="221"/>
      <c r="R94" s="221"/>
      <c r="S94" s="177"/>
      <c r="T94" s="177"/>
      <c r="U94" s="177"/>
      <c r="V94" s="177" t="s">
        <v>47</v>
      </c>
      <c r="W94" s="178"/>
      <c r="X94" s="31"/>
      <c r="Y94" s="78"/>
      <c r="Z94" s="78"/>
      <c r="AB94" s="33"/>
      <c r="AC94" s="18"/>
      <c r="AD94" s="18"/>
      <c r="AE94" s="18"/>
      <c r="AF94" s="18"/>
      <c r="AG94" s="18"/>
      <c r="AH94" s="88"/>
      <c r="AI94" s="89"/>
      <c r="AJ94" s="89"/>
      <c r="AK94" s="89"/>
      <c r="AL94" s="89"/>
      <c r="AM94" s="89"/>
      <c r="AN94" s="33"/>
      <c r="AO94" s="18"/>
      <c r="AP94" s="18"/>
      <c r="AQ94" s="18"/>
      <c r="AR94" s="18"/>
      <c r="AS94" s="18"/>
      <c r="AT94" s="18"/>
      <c r="AU94" s="18"/>
    </row>
    <row r="95" spans="1:47" ht="20.25" customHeight="1" thickBot="1">
      <c r="A95" s="246"/>
      <c r="B95" s="247"/>
      <c r="C95" s="46"/>
      <c r="D95" s="193">
        <v>5</v>
      </c>
      <c r="E95" s="194"/>
      <c r="F95" s="194"/>
      <c r="G95" s="195"/>
      <c r="H95" s="258"/>
      <c r="I95" s="259"/>
      <c r="J95" s="259"/>
      <c r="K95" s="179"/>
      <c r="L95" s="179"/>
      <c r="M95" s="179"/>
      <c r="N95" s="179" t="s">
        <v>47</v>
      </c>
      <c r="O95" s="180"/>
      <c r="P95" s="258"/>
      <c r="Q95" s="259"/>
      <c r="R95" s="259"/>
      <c r="S95" s="179"/>
      <c r="T95" s="179"/>
      <c r="U95" s="179"/>
      <c r="V95" s="179" t="s">
        <v>47</v>
      </c>
      <c r="W95" s="180"/>
      <c r="X95" s="31"/>
      <c r="Y95" s="78"/>
      <c r="Z95" s="78"/>
      <c r="AB95" s="33"/>
      <c r="AC95" s="18"/>
      <c r="AD95" s="18"/>
      <c r="AE95" s="18"/>
      <c r="AF95" s="18"/>
      <c r="AG95" s="18"/>
      <c r="AH95" s="88"/>
      <c r="AI95" s="89"/>
      <c r="AJ95" s="89"/>
      <c r="AK95" s="89"/>
      <c r="AL95" s="89"/>
      <c r="AM95" s="89"/>
      <c r="AN95" s="33"/>
      <c r="AO95" s="18"/>
      <c r="AP95" s="18"/>
      <c r="AQ95" s="18"/>
      <c r="AR95" s="18"/>
      <c r="AS95" s="18"/>
      <c r="AT95" s="18"/>
      <c r="AU95" s="18"/>
    </row>
    <row r="96" spans="1:47" ht="20.25" customHeight="1">
      <c r="A96" s="246"/>
      <c r="B96" s="247"/>
      <c r="C96" s="46"/>
      <c r="D96" s="260" t="s">
        <v>48</v>
      </c>
      <c r="E96" s="251"/>
      <c r="F96" s="251"/>
      <c r="G96" s="313"/>
      <c r="H96" s="250"/>
      <c r="I96" s="251"/>
      <c r="J96" s="251"/>
      <c r="K96" s="255" t="s">
        <v>129</v>
      </c>
      <c r="L96" s="255"/>
      <c r="M96" s="255"/>
      <c r="N96" s="255"/>
      <c r="O96" s="257"/>
      <c r="P96" s="260"/>
      <c r="Q96" s="251"/>
      <c r="R96" s="251"/>
      <c r="S96" s="255" t="s">
        <v>62</v>
      </c>
      <c r="T96" s="255"/>
      <c r="U96" s="255"/>
      <c r="V96" s="255"/>
      <c r="W96" s="257"/>
      <c r="X96" s="31"/>
      <c r="Y96" s="78"/>
      <c r="Z96" s="78"/>
      <c r="AB96" s="33"/>
      <c r="AC96" s="18"/>
      <c r="AD96" s="18"/>
      <c r="AE96" s="18"/>
      <c r="AF96" s="18"/>
      <c r="AG96" s="18"/>
      <c r="AH96" s="88"/>
      <c r="AI96" s="89"/>
      <c r="AJ96" s="89"/>
      <c r="AK96" s="89"/>
      <c r="AL96" s="89"/>
      <c r="AM96" s="89"/>
      <c r="AN96" s="33"/>
      <c r="AO96" s="18"/>
      <c r="AP96" s="18"/>
      <c r="AQ96" s="108"/>
      <c r="AR96" s="18"/>
      <c r="AS96" s="18"/>
      <c r="AT96" s="18"/>
      <c r="AU96" s="18"/>
    </row>
    <row r="97" spans="1:49" ht="20.25" customHeight="1">
      <c r="A97" s="246"/>
      <c r="B97" s="247"/>
      <c r="C97" s="46"/>
      <c r="D97" s="238" t="s">
        <v>59</v>
      </c>
      <c r="E97" s="239"/>
      <c r="F97" s="239"/>
      <c r="G97" s="256"/>
      <c r="H97" s="252"/>
      <c r="I97" s="239"/>
      <c r="J97" s="239"/>
      <c r="K97" s="177" t="s">
        <v>129</v>
      </c>
      <c r="L97" s="177"/>
      <c r="M97" s="177"/>
      <c r="N97" s="177" t="s">
        <v>63</v>
      </c>
      <c r="O97" s="178"/>
      <c r="P97" s="238"/>
      <c r="Q97" s="239"/>
      <c r="R97" s="239"/>
      <c r="S97" s="177" t="s">
        <v>62</v>
      </c>
      <c r="T97" s="177"/>
      <c r="U97" s="177"/>
      <c r="V97" s="177" t="s">
        <v>63</v>
      </c>
      <c r="W97" s="178"/>
      <c r="X97" s="31"/>
      <c r="Y97" s="78"/>
      <c r="Z97" s="78"/>
      <c r="AB97" s="33"/>
      <c r="AC97" s="18"/>
      <c r="AD97" s="18"/>
      <c r="AE97" s="18"/>
      <c r="AF97" s="18"/>
      <c r="AG97" s="18"/>
      <c r="AH97" s="88"/>
      <c r="AI97" s="89"/>
      <c r="AJ97" s="89"/>
      <c r="AK97" s="89"/>
      <c r="AL97" s="89"/>
      <c r="AM97" s="89"/>
      <c r="AN97" s="33"/>
      <c r="AO97" s="18"/>
      <c r="AP97" s="18"/>
      <c r="AQ97" s="18"/>
      <c r="AR97" s="18"/>
      <c r="AS97" s="18"/>
      <c r="AT97" s="18"/>
      <c r="AU97" s="18"/>
    </row>
    <row r="98" spans="1:49" ht="20.25" customHeight="1" thickBot="1">
      <c r="A98" s="246"/>
      <c r="B98" s="247"/>
      <c r="C98" s="46"/>
      <c r="D98" s="193" t="s">
        <v>49</v>
      </c>
      <c r="E98" s="194"/>
      <c r="F98" s="194"/>
      <c r="G98" s="195"/>
      <c r="H98" s="217"/>
      <c r="I98" s="194"/>
      <c r="J98" s="194"/>
      <c r="K98" s="179" t="s">
        <v>62</v>
      </c>
      <c r="L98" s="179"/>
      <c r="M98" s="179"/>
      <c r="N98" s="179" t="s">
        <v>63</v>
      </c>
      <c r="O98" s="180"/>
      <c r="P98" s="193"/>
      <c r="Q98" s="194"/>
      <c r="R98" s="194"/>
      <c r="S98" s="179" t="s">
        <v>62</v>
      </c>
      <c r="T98" s="179"/>
      <c r="U98" s="179"/>
      <c r="V98" s="179" t="s">
        <v>63</v>
      </c>
      <c r="W98" s="180"/>
      <c r="X98" s="31"/>
      <c r="Y98" s="78"/>
      <c r="Z98" s="78"/>
      <c r="AG98" s="18"/>
      <c r="AH98" s="88"/>
      <c r="AI98" s="89"/>
      <c r="AJ98" s="89"/>
      <c r="AK98" s="89"/>
      <c r="AL98" s="89"/>
      <c r="AM98" s="89"/>
      <c r="AN98" s="33"/>
      <c r="AO98" s="18"/>
      <c r="AP98" s="18"/>
      <c r="AQ98" s="18"/>
      <c r="AR98" s="18"/>
      <c r="AS98" s="18"/>
      <c r="AT98" s="18"/>
      <c r="AU98" s="18"/>
    </row>
    <row r="99" spans="1:49" ht="10.5" customHeight="1" thickBot="1">
      <c r="A99" s="248"/>
      <c r="B99" s="249"/>
      <c r="C99" s="64"/>
      <c r="D99" s="67"/>
      <c r="E99" s="68"/>
      <c r="F99" s="68"/>
      <c r="G99" s="69"/>
      <c r="H99" s="69"/>
      <c r="I99" s="183"/>
      <c r="J99" s="183"/>
      <c r="K99" s="65"/>
      <c r="L99" s="65"/>
      <c r="M99" s="65"/>
      <c r="N99" s="65"/>
      <c r="O99" s="65"/>
      <c r="P99" s="65"/>
      <c r="Q99" s="65"/>
      <c r="R99" s="65"/>
      <c r="S99" s="65"/>
      <c r="T99" s="65"/>
      <c r="U99" s="65"/>
      <c r="V99" s="65"/>
      <c r="W99" s="65"/>
      <c r="X99" s="66"/>
      <c r="Y99" s="78"/>
      <c r="Z99" s="78"/>
      <c r="AG99" s="18"/>
      <c r="AH99" s="88"/>
      <c r="AI99" s="89"/>
      <c r="AJ99" s="89"/>
      <c r="AK99" s="89"/>
      <c r="AL99" s="89"/>
      <c r="AM99" s="89"/>
      <c r="AN99" s="33"/>
      <c r="AO99" s="18"/>
      <c r="AP99" s="18"/>
      <c r="AQ99" s="18"/>
      <c r="AR99" s="18"/>
      <c r="AS99" s="18"/>
      <c r="AT99" s="18"/>
      <c r="AU99" s="18"/>
    </row>
    <row r="100" spans="1:49">
      <c r="A100" s="37" t="s">
        <v>1</v>
      </c>
      <c r="B100" s="38"/>
      <c r="C100" s="38"/>
      <c r="D100" s="38"/>
      <c r="E100" s="38"/>
      <c r="F100" s="38"/>
      <c r="G100" s="38"/>
      <c r="H100" s="38"/>
      <c r="I100" s="38"/>
      <c r="J100" s="38"/>
      <c r="K100" s="38"/>
      <c r="L100" s="38"/>
      <c r="M100" s="38"/>
      <c r="N100" s="38"/>
      <c r="O100" s="38"/>
      <c r="P100" s="38"/>
      <c r="Q100" s="38"/>
      <c r="R100" s="38"/>
      <c r="S100" s="38"/>
      <c r="T100" s="38"/>
      <c r="U100" s="38"/>
      <c r="V100" s="38"/>
      <c r="W100" s="38"/>
      <c r="X100" s="39"/>
      <c r="AG100" s="18"/>
      <c r="AH100" s="88"/>
      <c r="AI100" s="89"/>
      <c r="AJ100" s="89"/>
      <c r="AK100" s="89"/>
      <c r="AL100" s="89"/>
      <c r="AM100" s="89"/>
    </row>
    <row r="101" spans="1:49">
      <c r="A101" s="196"/>
      <c r="B101" s="197"/>
      <c r="C101" s="197"/>
      <c r="D101" s="197"/>
      <c r="E101" s="197"/>
      <c r="F101" s="197"/>
      <c r="G101" s="197"/>
      <c r="H101" s="197"/>
      <c r="I101" s="197"/>
      <c r="J101" s="197"/>
      <c r="K101" s="197"/>
      <c r="L101" s="197"/>
      <c r="M101" s="197"/>
      <c r="N101" s="197"/>
      <c r="O101" s="197"/>
      <c r="P101" s="197"/>
      <c r="Q101" s="197"/>
      <c r="R101" s="197"/>
      <c r="S101" s="197"/>
      <c r="T101" s="197"/>
      <c r="U101" s="197"/>
      <c r="V101" s="197"/>
      <c r="W101" s="197"/>
      <c r="X101" s="198"/>
      <c r="AG101" s="18"/>
      <c r="AM101" s="89"/>
    </row>
    <row r="102" spans="1:49" ht="24">
      <c r="A102" s="199"/>
      <c r="B102" s="197"/>
      <c r="C102" s="197"/>
      <c r="D102" s="197"/>
      <c r="E102" s="197"/>
      <c r="F102" s="197"/>
      <c r="G102" s="197"/>
      <c r="H102" s="197"/>
      <c r="I102" s="197"/>
      <c r="J102" s="197"/>
      <c r="K102" s="197"/>
      <c r="L102" s="197"/>
      <c r="M102" s="197"/>
      <c r="N102" s="197"/>
      <c r="O102" s="197"/>
      <c r="P102" s="197"/>
      <c r="Q102" s="197"/>
      <c r="R102" s="197"/>
      <c r="S102" s="197"/>
      <c r="T102" s="197"/>
      <c r="U102" s="197"/>
      <c r="V102" s="197"/>
      <c r="W102" s="197"/>
      <c r="X102" s="198"/>
      <c r="AG102" s="18"/>
      <c r="AM102" s="89"/>
      <c r="AN102" s="58" t="s">
        <v>44</v>
      </c>
      <c r="AO102" s="59"/>
      <c r="AP102" s="59"/>
      <c r="AQ102" s="59"/>
      <c r="AR102" s="59"/>
      <c r="AS102" s="59"/>
      <c r="AT102" s="59"/>
      <c r="AU102" s="59"/>
      <c r="AV102" s="59"/>
      <c r="AW102" s="59"/>
    </row>
    <row r="103" spans="1:49" ht="24.75" thickBot="1">
      <c r="A103" s="200"/>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2"/>
      <c r="AG103" s="18"/>
      <c r="AM103" s="89"/>
      <c r="AN103" s="58" t="s">
        <v>45</v>
      </c>
      <c r="AO103" s="59"/>
      <c r="AP103" s="59"/>
      <c r="AQ103" s="59"/>
      <c r="AR103" s="59"/>
      <c r="AS103" s="59"/>
      <c r="AT103" s="59"/>
      <c r="AU103" s="59"/>
      <c r="AV103" s="59"/>
      <c r="AW103" s="59"/>
    </row>
    <row r="104" spans="1:49" ht="24">
      <c r="A104" s="284" t="s">
        <v>0</v>
      </c>
      <c r="B104" s="285"/>
      <c r="C104" s="285"/>
      <c r="D104" s="285"/>
      <c r="E104" s="306" t="s">
        <v>12</v>
      </c>
      <c r="F104" s="306"/>
      <c r="G104" s="306"/>
      <c r="H104" s="306"/>
      <c r="I104" s="306"/>
      <c r="J104" s="306"/>
      <c r="K104" s="306"/>
      <c r="L104" s="306"/>
      <c r="M104" s="306"/>
      <c r="N104" s="306"/>
      <c r="O104" s="306"/>
      <c r="P104" s="306"/>
      <c r="Q104" s="306"/>
      <c r="R104" s="306"/>
      <c r="S104" s="306"/>
      <c r="T104" s="306"/>
      <c r="U104" s="306"/>
      <c r="V104" s="306"/>
      <c r="W104" s="306"/>
      <c r="X104" s="307"/>
      <c r="AG104" s="18"/>
      <c r="AM104" s="89"/>
      <c r="AN104" s="58" t="s">
        <v>46</v>
      </c>
      <c r="AO104" s="59"/>
      <c r="AP104" s="59"/>
      <c r="AQ104" s="59"/>
      <c r="AR104" s="59"/>
      <c r="AS104" s="59"/>
      <c r="AT104" s="59"/>
      <c r="AU104" s="59"/>
      <c r="AV104" s="59"/>
      <c r="AW104" s="59"/>
    </row>
    <row r="105" spans="1:49" ht="16.5" customHeight="1">
      <c r="A105" s="302"/>
      <c r="B105" s="303"/>
      <c r="C105" s="303"/>
      <c r="D105" s="303"/>
      <c r="E105" s="308" t="s">
        <v>8</v>
      </c>
      <c r="F105" s="308"/>
      <c r="G105" s="308"/>
      <c r="H105" s="308"/>
      <c r="I105" s="308"/>
      <c r="J105" s="308"/>
      <c r="K105" s="308"/>
      <c r="L105" s="308"/>
      <c r="M105" s="308"/>
      <c r="N105" s="308"/>
      <c r="O105" s="308"/>
      <c r="P105" s="308"/>
      <c r="Q105" s="308"/>
      <c r="R105" s="308"/>
      <c r="S105" s="308"/>
      <c r="T105" s="308"/>
      <c r="U105" s="308"/>
      <c r="V105" s="308"/>
      <c r="W105" s="308"/>
      <c r="X105" s="309"/>
      <c r="AM105" s="89"/>
    </row>
    <row r="106" spans="1:49" ht="16.5" customHeight="1">
      <c r="A106" s="304"/>
      <c r="B106" s="305"/>
      <c r="C106" s="305"/>
      <c r="D106" s="305"/>
      <c r="E106" s="308" t="s">
        <v>9</v>
      </c>
      <c r="F106" s="308"/>
      <c r="G106" s="308"/>
      <c r="H106" s="308"/>
      <c r="I106" s="308"/>
      <c r="J106" s="308"/>
      <c r="K106" s="308"/>
      <c r="L106" s="308"/>
      <c r="M106" s="308"/>
      <c r="N106" s="308"/>
      <c r="O106" s="308"/>
      <c r="P106" s="308"/>
      <c r="Q106" s="308"/>
      <c r="R106" s="308"/>
      <c r="S106" s="308"/>
      <c r="T106" s="308"/>
      <c r="U106" s="308"/>
      <c r="V106" s="308"/>
      <c r="W106" s="308"/>
      <c r="X106" s="309"/>
      <c r="AM106" s="89"/>
    </row>
    <row r="107" spans="1:49" ht="16.5" customHeight="1">
      <c r="A107" s="304"/>
      <c r="B107" s="305"/>
      <c r="C107" s="305"/>
      <c r="D107" s="305"/>
      <c r="E107" s="315" t="s">
        <v>11</v>
      </c>
      <c r="F107" s="308"/>
      <c r="G107" s="308"/>
      <c r="H107" s="308"/>
      <c r="I107" s="308"/>
      <c r="J107" s="308"/>
      <c r="K107" s="308"/>
      <c r="L107" s="308"/>
      <c r="M107" s="308"/>
      <c r="N107" s="308"/>
      <c r="O107" s="308"/>
      <c r="P107" s="308"/>
      <c r="Q107" s="308"/>
      <c r="R107" s="308"/>
      <c r="S107" s="308"/>
      <c r="T107" s="308"/>
      <c r="U107" s="308"/>
      <c r="V107" s="308"/>
      <c r="W107" s="308"/>
      <c r="X107" s="309"/>
      <c r="AM107" s="89"/>
    </row>
    <row r="108" spans="1:49" ht="16.5" customHeight="1" thickBot="1">
      <c r="A108" s="286"/>
      <c r="B108" s="287"/>
      <c r="C108" s="287"/>
      <c r="D108" s="287"/>
      <c r="E108" s="310" t="s">
        <v>10</v>
      </c>
      <c r="F108" s="310"/>
      <c r="G108" s="310"/>
      <c r="H108" s="310"/>
      <c r="I108" s="310"/>
      <c r="J108" s="310"/>
      <c r="K108" s="310"/>
      <c r="L108" s="310"/>
      <c r="M108" s="310"/>
      <c r="N108" s="310"/>
      <c r="O108" s="310"/>
      <c r="P108" s="310"/>
      <c r="Q108" s="310"/>
      <c r="R108" s="310"/>
      <c r="S108" s="310"/>
      <c r="T108" s="310"/>
      <c r="U108" s="310"/>
      <c r="V108" s="310"/>
      <c r="W108" s="310"/>
      <c r="X108" s="311"/>
    </row>
    <row r="109" spans="1:49" ht="30" customHeight="1">
      <c r="A109" s="284" t="s">
        <v>37</v>
      </c>
      <c r="B109" s="285"/>
      <c r="C109" s="285"/>
      <c r="D109" s="285"/>
      <c r="E109" s="295" t="s">
        <v>78</v>
      </c>
      <c r="F109" s="296"/>
      <c r="G109" s="288" t="s">
        <v>2</v>
      </c>
      <c r="H109" s="289"/>
      <c r="I109" s="281" t="s">
        <v>17</v>
      </c>
      <c r="J109" s="282"/>
      <c r="K109" s="282"/>
      <c r="L109" s="282"/>
      <c r="M109" s="282"/>
      <c r="N109" s="282"/>
      <c r="O109" s="282"/>
      <c r="P109" s="282"/>
      <c r="Q109" s="282"/>
      <c r="R109" s="282"/>
      <c r="S109" s="282"/>
      <c r="T109" s="282"/>
      <c r="U109" s="282"/>
      <c r="V109" s="282"/>
      <c r="W109" s="282"/>
      <c r="X109" s="283"/>
      <c r="AA109" s="29"/>
      <c r="AN109" s="52" t="s">
        <v>38</v>
      </c>
    </row>
    <row r="110" spans="1:49" ht="30" customHeight="1" thickBot="1">
      <c r="A110" s="286"/>
      <c r="B110" s="287"/>
      <c r="C110" s="287"/>
      <c r="D110" s="287"/>
      <c r="E110" s="297"/>
      <c r="F110" s="298"/>
      <c r="G110" s="290"/>
      <c r="H110" s="291"/>
      <c r="I110" s="91" t="s">
        <v>68</v>
      </c>
      <c r="J110" s="203">
        <v>42674</v>
      </c>
      <c r="K110" s="203"/>
      <c r="L110" s="203"/>
      <c r="M110" s="203"/>
      <c r="N110" s="203"/>
      <c r="O110" s="92" t="s">
        <v>69</v>
      </c>
      <c r="P110" s="92"/>
      <c r="Q110" s="92"/>
      <c r="R110" s="92"/>
      <c r="S110" s="314" t="s">
        <v>197</v>
      </c>
      <c r="T110" s="314"/>
      <c r="U110" s="314"/>
      <c r="V110" s="314"/>
      <c r="W110" s="314"/>
      <c r="X110" s="93"/>
      <c r="AA110" s="36"/>
      <c r="AB110" s="36"/>
      <c r="AC110" s="36"/>
      <c r="AD110" s="36"/>
      <c r="AE110" s="36"/>
      <c r="AF110" s="36"/>
      <c r="AN110" s="98" t="s">
        <v>40</v>
      </c>
      <c r="AO110" s="49"/>
      <c r="AP110" s="49"/>
      <c r="AQ110" s="49"/>
      <c r="AR110" s="49"/>
      <c r="AS110" s="49"/>
      <c r="AT110" s="49"/>
      <c r="AU110" s="49"/>
      <c r="AV110" s="49"/>
    </row>
    <row r="111" spans="1:49" ht="3.75" customHeight="1" thickBot="1">
      <c r="A111" s="102"/>
      <c r="B111" s="102"/>
      <c r="C111" s="102"/>
      <c r="D111" s="102"/>
      <c r="E111" s="12"/>
      <c r="F111" s="102"/>
      <c r="G111" s="102"/>
      <c r="H111" s="102"/>
      <c r="I111" s="102"/>
      <c r="J111" s="102"/>
      <c r="K111" s="102"/>
      <c r="L111" s="102"/>
      <c r="M111" s="102"/>
      <c r="N111" s="102"/>
      <c r="O111" s="102"/>
      <c r="P111" s="102"/>
      <c r="Q111" s="102"/>
      <c r="R111" s="102"/>
      <c r="S111" s="102"/>
      <c r="T111" s="102"/>
      <c r="U111" s="102"/>
      <c r="V111" s="102"/>
      <c r="W111" s="102"/>
      <c r="X111" s="102"/>
      <c r="Y111" s="78"/>
      <c r="Z111" s="78"/>
      <c r="AN111" s="98"/>
      <c r="AO111" s="49"/>
      <c r="AP111" s="49"/>
      <c r="AQ111" s="49"/>
      <c r="AR111" s="49"/>
      <c r="AS111" s="49"/>
      <c r="AT111" s="49"/>
      <c r="AU111" s="49"/>
      <c r="AV111" s="49"/>
    </row>
    <row r="112" spans="1:49" s="36" customFormat="1" ht="63.75" customHeight="1" thickBot="1">
      <c r="A112" s="292" t="s">
        <v>126</v>
      </c>
      <c r="B112" s="293"/>
      <c r="C112" s="293"/>
      <c r="D112" s="293"/>
      <c r="E112" s="293"/>
      <c r="F112" s="293"/>
      <c r="G112" s="293"/>
      <c r="H112" s="293"/>
      <c r="I112" s="294"/>
      <c r="J112" s="279" t="s">
        <v>3</v>
      </c>
      <c r="K112" s="299"/>
      <c r="L112" s="300" t="s">
        <v>15</v>
      </c>
      <c r="M112" s="301"/>
      <c r="N112" s="301"/>
      <c r="O112" s="301"/>
      <c r="P112" s="301"/>
      <c r="Q112" s="301"/>
      <c r="R112" s="301"/>
      <c r="S112" s="301"/>
      <c r="T112" s="279" t="s">
        <v>7</v>
      </c>
      <c r="U112" s="280"/>
      <c r="V112" s="34"/>
      <c r="W112" s="101"/>
      <c r="X112" s="35"/>
      <c r="Y112" s="90"/>
      <c r="Z112" s="90"/>
      <c r="AA112" s="17"/>
      <c r="AB112" s="17"/>
      <c r="AC112" s="17"/>
      <c r="AD112" s="17"/>
      <c r="AE112" s="17"/>
      <c r="AF112" s="17"/>
      <c r="AG112" s="17"/>
      <c r="AH112" s="77"/>
      <c r="AI112" s="77"/>
      <c r="AJ112" s="77"/>
      <c r="AK112" s="77"/>
      <c r="AL112" s="77"/>
      <c r="AM112" s="77"/>
      <c r="AN112" s="271" t="s">
        <v>41</v>
      </c>
      <c r="AO112" s="271"/>
      <c r="AP112" s="271"/>
      <c r="AQ112" s="271"/>
      <c r="AR112" s="271"/>
      <c r="AS112" s="271"/>
      <c r="AT112" s="271"/>
      <c r="AU112" s="271"/>
      <c r="AV112" s="271"/>
    </row>
    <row r="113" spans="1:39">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AH113" s="90"/>
      <c r="AI113" s="90"/>
      <c r="AJ113" s="90"/>
      <c r="AK113" s="90"/>
      <c r="AL113" s="90"/>
    </row>
    <row r="117" spans="1:39">
      <c r="AG117" s="36"/>
    </row>
    <row r="119" spans="1:39">
      <c r="G119" s="2"/>
      <c r="H119" s="40"/>
    </row>
    <row r="120" spans="1:39">
      <c r="G120" s="2"/>
      <c r="H120" s="40"/>
      <c r="AM120" s="90"/>
    </row>
  </sheetData>
  <mergeCells count="215">
    <mergeCell ref="C5:F5"/>
    <mergeCell ref="G5:L5"/>
    <mergeCell ref="M66:Q66"/>
    <mergeCell ref="H54:I56"/>
    <mergeCell ref="J54:P56"/>
    <mergeCell ref="A50:G53"/>
    <mergeCell ref="H50:I50"/>
    <mergeCell ref="H51:R52"/>
    <mergeCell ref="B54:F56"/>
    <mergeCell ref="C12:F12"/>
    <mergeCell ref="G12:L12"/>
    <mergeCell ref="C13:F13"/>
    <mergeCell ref="C14:F14"/>
    <mergeCell ref="G13:L13"/>
    <mergeCell ref="G14:L14"/>
    <mergeCell ref="A66:D66"/>
    <mergeCell ref="C15:F15"/>
    <mergeCell ref="G15:L15"/>
    <mergeCell ref="C16:F16"/>
    <mergeCell ref="C17:F17"/>
    <mergeCell ref="A62:E62"/>
    <mergeCell ref="F62:K62"/>
    <mergeCell ref="L62:O62"/>
    <mergeCell ref="A64:E64"/>
    <mergeCell ref="S51:X52"/>
    <mergeCell ref="M25:M29"/>
    <mergeCell ref="M30:M31"/>
    <mergeCell ref="G23:H23"/>
    <mergeCell ref="G24:H24"/>
    <mergeCell ref="G25:H25"/>
    <mergeCell ref="G26:H26"/>
    <mergeCell ref="G27:H27"/>
    <mergeCell ref="G28:H28"/>
    <mergeCell ref="G29:H29"/>
    <mergeCell ref="G31:H31"/>
    <mergeCell ref="G32:H32"/>
    <mergeCell ref="G33:H33"/>
    <mergeCell ref="G34:H34"/>
    <mergeCell ref="AC65:AF65"/>
    <mergeCell ref="AC66:AF66"/>
    <mergeCell ref="AC67:AF67"/>
    <mergeCell ref="AC68:AF68"/>
    <mergeCell ref="AI68:AL68"/>
    <mergeCell ref="AI69:AL69"/>
    <mergeCell ref="AI70:AL70"/>
    <mergeCell ref="AI71:AL71"/>
    <mergeCell ref="S54:X56"/>
    <mergeCell ref="P62:X62"/>
    <mergeCell ref="P64:X64"/>
    <mergeCell ref="P63:X63"/>
    <mergeCell ref="H89:J89"/>
    <mergeCell ref="D96:G96"/>
    <mergeCell ref="D97:G97"/>
    <mergeCell ref="D98:G98"/>
    <mergeCell ref="H95:J95"/>
    <mergeCell ref="H91:J91"/>
    <mergeCell ref="P98:R98"/>
    <mergeCell ref="N95:O95"/>
    <mergeCell ref="S110:W110"/>
    <mergeCell ref="E107:X107"/>
    <mergeCell ref="N93:O93"/>
    <mergeCell ref="V93:W93"/>
    <mergeCell ref="N94:O94"/>
    <mergeCell ref="V94:W94"/>
    <mergeCell ref="S93:U93"/>
    <mergeCell ref="S94:U94"/>
    <mergeCell ref="P94:R94"/>
    <mergeCell ref="N91:O91"/>
    <mergeCell ref="V91:W91"/>
    <mergeCell ref="N92:O92"/>
    <mergeCell ref="V92:W92"/>
    <mergeCell ref="S92:U92"/>
    <mergeCell ref="V95:W95"/>
    <mergeCell ref="N96:O96"/>
    <mergeCell ref="F64:K64"/>
    <mergeCell ref="L64:O64"/>
    <mergeCell ref="A63:E63"/>
    <mergeCell ref="F63:K63"/>
    <mergeCell ref="L63:O63"/>
    <mergeCell ref="AN112:AV112"/>
    <mergeCell ref="AN67:AS68"/>
    <mergeCell ref="A67:D68"/>
    <mergeCell ref="T112:U112"/>
    <mergeCell ref="I109:X109"/>
    <mergeCell ref="A109:D110"/>
    <mergeCell ref="G109:H110"/>
    <mergeCell ref="A112:I112"/>
    <mergeCell ref="E109:F110"/>
    <mergeCell ref="J112:K112"/>
    <mergeCell ref="L112:S112"/>
    <mergeCell ref="A104:D108"/>
    <mergeCell ref="E104:X104"/>
    <mergeCell ref="E105:X105"/>
    <mergeCell ref="E108:X108"/>
    <mergeCell ref="E106:X106"/>
    <mergeCell ref="D91:G91"/>
    <mergeCell ref="D92:G92"/>
    <mergeCell ref="D93:G93"/>
    <mergeCell ref="D94:G94"/>
    <mergeCell ref="D95:G95"/>
    <mergeCell ref="H92:J92"/>
    <mergeCell ref="H93:J93"/>
    <mergeCell ref="H94:J94"/>
    <mergeCell ref="V96:W96"/>
    <mergeCell ref="S95:U95"/>
    <mergeCell ref="S96:U96"/>
    <mergeCell ref="P95:R95"/>
    <mergeCell ref="P96:R96"/>
    <mergeCell ref="P93:R93"/>
    <mergeCell ref="V89:W89"/>
    <mergeCell ref="S89:U89"/>
    <mergeCell ref="S91:U91"/>
    <mergeCell ref="S90:W90"/>
    <mergeCell ref="S97:U97"/>
    <mergeCell ref="S98:U98"/>
    <mergeCell ref="P97:R97"/>
    <mergeCell ref="A69:B83"/>
    <mergeCell ref="A84:B91"/>
    <mergeCell ref="A92:B99"/>
    <mergeCell ref="H96:J96"/>
    <mergeCell ref="H97:J97"/>
    <mergeCell ref="H98:J98"/>
    <mergeCell ref="K90:O90"/>
    <mergeCell ref="K89:M89"/>
    <mergeCell ref="K91:M91"/>
    <mergeCell ref="K92:M92"/>
    <mergeCell ref="K93:M93"/>
    <mergeCell ref="K94:M94"/>
    <mergeCell ref="K95:M95"/>
    <mergeCell ref="K96:M96"/>
    <mergeCell ref="K97:M97"/>
    <mergeCell ref="K98:M98"/>
    <mergeCell ref="N97:O97"/>
    <mergeCell ref="I99:J99"/>
    <mergeCell ref="D87:G87"/>
    <mergeCell ref="D88:G88"/>
    <mergeCell ref="D89:G90"/>
    <mergeCell ref="A101:X103"/>
    <mergeCell ref="J110:N110"/>
    <mergeCell ref="H68:R68"/>
    <mergeCell ref="S67:T68"/>
    <mergeCell ref="U67:X67"/>
    <mergeCell ref="U68:X68"/>
    <mergeCell ref="I67:R67"/>
    <mergeCell ref="P89:R89"/>
    <mergeCell ref="P90:R90"/>
    <mergeCell ref="P91:R91"/>
    <mergeCell ref="P92:R92"/>
    <mergeCell ref="N89:O89"/>
    <mergeCell ref="P88:W88"/>
    <mergeCell ref="H87:J87"/>
    <mergeCell ref="K87:O87"/>
    <mergeCell ref="H88:O88"/>
    <mergeCell ref="P87:R87"/>
    <mergeCell ref="V87:W87"/>
    <mergeCell ref="S87:U87"/>
    <mergeCell ref="H90:J90"/>
    <mergeCell ref="V97:W97"/>
    <mergeCell ref="N98:O98"/>
    <mergeCell ref="V98:W98"/>
    <mergeCell ref="W3:AB3"/>
    <mergeCell ref="W4:AB4"/>
    <mergeCell ref="D21:F21"/>
    <mergeCell ref="D22:F22"/>
    <mergeCell ref="I21:I22"/>
    <mergeCell ref="J21:J22"/>
    <mergeCell ref="I23:I24"/>
    <mergeCell ref="J23:J24"/>
    <mergeCell ref="K21:K22"/>
    <mergeCell ref="K23:K24"/>
    <mergeCell ref="L21:L22"/>
    <mergeCell ref="C11:F11"/>
    <mergeCell ref="G8:L8"/>
    <mergeCell ref="G9:L9"/>
    <mergeCell ref="G10:L10"/>
    <mergeCell ref="G11:L11"/>
    <mergeCell ref="C10:F10"/>
    <mergeCell ref="C9:F9"/>
    <mergeCell ref="M21:M22"/>
    <mergeCell ref="M23:M24"/>
    <mergeCell ref="G21:H21"/>
    <mergeCell ref="G22:H22"/>
    <mergeCell ref="G16:L16"/>
    <mergeCell ref="D23:F23"/>
    <mergeCell ref="D24:F24"/>
    <mergeCell ref="D25:F25"/>
    <mergeCell ref="C8:F8"/>
    <mergeCell ref="K25:K29"/>
    <mergeCell ref="K30:K31"/>
    <mergeCell ref="K32:K34"/>
    <mergeCell ref="G17:L17"/>
    <mergeCell ref="C7:F7"/>
    <mergeCell ref="G7:L7"/>
    <mergeCell ref="L23:L24"/>
    <mergeCell ref="L25:L29"/>
    <mergeCell ref="L30:L31"/>
    <mergeCell ref="L32:L34"/>
    <mergeCell ref="G20:H20"/>
    <mergeCell ref="D20:F20"/>
    <mergeCell ref="D26:F26"/>
    <mergeCell ref="D27:F27"/>
    <mergeCell ref="D28:F28"/>
    <mergeCell ref="D29:F29"/>
    <mergeCell ref="D30:F30"/>
    <mergeCell ref="D31:F31"/>
    <mergeCell ref="D32:F32"/>
    <mergeCell ref="D33:F33"/>
    <mergeCell ref="D34:F34"/>
    <mergeCell ref="I25:I29"/>
    <mergeCell ref="J25:J29"/>
    <mergeCell ref="I30:I31"/>
    <mergeCell ref="J30:J31"/>
    <mergeCell ref="I32:I34"/>
    <mergeCell ref="J32:J34"/>
    <mergeCell ref="G30:H30"/>
  </mergeCells>
  <phoneticPr fontId="3"/>
  <dataValidations count="3">
    <dataValidation type="list" allowBlank="1" showInputMessage="1" showErrorMessage="1" sqref="S110:W110">
      <formula1>$P$8:$P$12</formula1>
    </dataValidation>
    <dataValidation type="list" allowBlank="1" showInputMessage="1" showErrorMessage="1" sqref="A84:B91">
      <formula1>$O$8:$O$12</formula1>
    </dataValidation>
    <dataValidation type="list" allowBlank="1" showInputMessage="1" showErrorMessage="1" sqref="I67:R67">
      <formula1>"前回交換実施なし"</formula1>
    </dataValidation>
  </dataValidations>
  <printOptions horizontalCentered="1"/>
  <pageMargins left="0.43307086614173229" right="0.39370078740157483" top="0.78740157480314965" bottom="0.62992125984251968" header="0.51181102362204722" footer="0.35433070866141736"/>
  <pageSetup paperSize="9" scale="70" orientation="portrait" r:id="rId1"/>
  <headerFooter alignWithMargins="0"/>
  <drawing r:id="rId2"/>
  <legacyDrawing r:id="rId3"/>
  <controls>
    <control shapeId="1044" r:id="rId4" name="CheckBox14"/>
    <control shapeId="1043" r:id="rId5" name="CheckBox13"/>
    <control shapeId="1042" r:id="rId6" name="CheckBox12"/>
    <control shapeId="1041" r:id="rId7" name="CheckBox11"/>
    <control shapeId="1040" r:id="rId8" name="CheckBox10"/>
    <control shapeId="1039" r:id="rId9" name="CheckBox9"/>
    <control shapeId="1038" r:id="rId10" name="CheckBox8"/>
    <control shapeId="1037" r:id="rId11" name="CheckBox7"/>
    <control shapeId="1036" r:id="rId12" name="CheckBox6"/>
    <control shapeId="1035" r:id="rId13" name="CheckBox5"/>
    <control shapeId="1033" r:id="rId14" name="CheckBox4"/>
    <control shapeId="1032" r:id="rId15" name="CheckBox3"/>
    <control shapeId="1031" r:id="rId16" name="CheckBox2"/>
    <control shapeId="1030" r:id="rId17" name="CheckBox1"/>
  </controls>
</worksheet>
</file>

<file path=xl/worksheets/sheet2.xml><?xml version="1.0" encoding="utf-8"?>
<worksheet xmlns="http://schemas.openxmlformats.org/spreadsheetml/2006/main" xmlns:r="http://schemas.openxmlformats.org/officeDocument/2006/relationships">
  <sheetPr codeName="Sheet2"/>
  <dimension ref="A1:O22"/>
  <sheetViews>
    <sheetView topLeftCell="F1" workbookViewId="0">
      <selection activeCell="I9" sqref="I9"/>
    </sheetView>
  </sheetViews>
  <sheetFormatPr defaultRowHeight="13.5"/>
  <cols>
    <col min="1" max="1" width="9.5" style="168" bestFit="1" customWidth="1"/>
    <col min="2" max="2" width="6.5" style="168" bestFit="1" customWidth="1"/>
    <col min="3" max="3" width="11.375" style="168" bestFit="1" customWidth="1"/>
    <col min="4" max="4" width="25" style="168" bestFit="1" customWidth="1"/>
    <col min="5" max="5" width="13.375" style="168" bestFit="1" customWidth="1"/>
    <col min="6" max="6" width="13.375" style="168" customWidth="1"/>
    <col min="7" max="7" width="11.25" style="168" bestFit="1" customWidth="1"/>
    <col min="8" max="8" width="11.25" style="168" customWidth="1"/>
    <col min="9" max="10" width="11.875" style="168" customWidth="1"/>
    <col min="11" max="11" width="11.125" style="168" customWidth="1"/>
    <col min="12" max="13" width="9" style="168"/>
    <col min="14" max="14" width="16.625" style="168" bestFit="1" customWidth="1"/>
    <col min="15" max="15" width="27" style="168" customWidth="1"/>
    <col min="16" max="16384" width="9" style="168"/>
  </cols>
  <sheetData>
    <row r="1" spans="1:15" s="120" customFormat="1" ht="57">
      <c r="A1" s="113" t="s">
        <v>130</v>
      </c>
      <c r="B1" s="114" t="s">
        <v>131</v>
      </c>
      <c r="C1" s="114" t="s">
        <v>132</v>
      </c>
      <c r="D1" s="114" t="s">
        <v>133</v>
      </c>
      <c r="E1" s="114" t="s">
        <v>134</v>
      </c>
      <c r="F1" s="115" t="s">
        <v>135</v>
      </c>
      <c r="G1" s="115" t="s">
        <v>136</v>
      </c>
      <c r="H1" s="115" t="s">
        <v>137</v>
      </c>
      <c r="I1" s="115" t="s">
        <v>138</v>
      </c>
      <c r="J1" s="115" t="s">
        <v>139</v>
      </c>
      <c r="K1" s="116" t="s">
        <v>140</v>
      </c>
      <c r="L1" s="117" t="s">
        <v>141</v>
      </c>
      <c r="M1" s="118" t="s">
        <v>142</v>
      </c>
      <c r="N1" s="119" t="s">
        <v>143</v>
      </c>
      <c r="O1" s="120" t="s">
        <v>144</v>
      </c>
    </row>
    <row r="2" spans="1:15" s="129" customFormat="1" ht="14.25">
      <c r="A2" s="121" t="s">
        <v>145</v>
      </c>
      <c r="B2" s="121" t="s">
        <v>146</v>
      </c>
      <c r="C2" s="122" t="s">
        <v>147</v>
      </c>
      <c r="D2" s="122" t="s">
        <v>148</v>
      </c>
      <c r="E2" s="123" t="s">
        <v>149</v>
      </c>
      <c r="F2" s="123"/>
      <c r="G2" s="123" t="s">
        <v>150</v>
      </c>
      <c r="H2" s="123" t="s">
        <v>151</v>
      </c>
      <c r="I2" s="124" t="s">
        <v>152</v>
      </c>
      <c r="J2" s="124">
        <v>2</v>
      </c>
      <c r="K2" s="125">
        <v>8</v>
      </c>
      <c r="L2" s="126"/>
      <c r="M2" s="127" t="s">
        <v>153</v>
      </c>
      <c r="N2" s="128">
        <v>42645</v>
      </c>
      <c r="O2" s="129" t="str">
        <f t="shared" ref="O2:O13" si="0">C2&amp;" "&amp;E2</f>
        <v>RAININ LTS</v>
      </c>
    </row>
    <row r="3" spans="1:15" s="129" customFormat="1" ht="14.25">
      <c r="A3" s="121" t="s">
        <v>154</v>
      </c>
      <c r="B3" s="130" t="s">
        <v>146</v>
      </c>
      <c r="C3" s="131" t="s">
        <v>147</v>
      </c>
      <c r="D3" s="131" t="s">
        <v>155</v>
      </c>
      <c r="E3" s="132" t="s">
        <v>149</v>
      </c>
      <c r="F3" s="132"/>
      <c r="G3" s="131">
        <v>200</v>
      </c>
      <c r="H3" s="131">
        <v>20</v>
      </c>
      <c r="I3" s="133" t="s">
        <v>152</v>
      </c>
      <c r="J3" s="133">
        <v>4</v>
      </c>
      <c r="K3" s="134" t="s">
        <v>156</v>
      </c>
      <c r="L3" s="135"/>
      <c r="M3" s="127" t="s">
        <v>153</v>
      </c>
      <c r="N3" s="128"/>
      <c r="O3" s="129" t="str">
        <f t="shared" si="0"/>
        <v>RAININ LTS</v>
      </c>
    </row>
    <row r="4" spans="1:15" s="129" customFormat="1" ht="14.25">
      <c r="A4" s="121" t="s">
        <v>157</v>
      </c>
      <c r="B4" s="130" t="s">
        <v>146</v>
      </c>
      <c r="C4" s="131" t="s">
        <v>147</v>
      </c>
      <c r="D4" s="131" t="s">
        <v>158</v>
      </c>
      <c r="E4" s="132" t="s">
        <v>159</v>
      </c>
      <c r="F4" s="132"/>
      <c r="G4" s="132" t="s">
        <v>150</v>
      </c>
      <c r="H4" s="132" t="s">
        <v>160</v>
      </c>
      <c r="I4" s="133" t="s">
        <v>152</v>
      </c>
      <c r="J4" s="133">
        <v>3</v>
      </c>
      <c r="K4" s="134" t="s">
        <v>161</v>
      </c>
      <c r="L4" s="135"/>
      <c r="M4" s="127" t="s">
        <v>153</v>
      </c>
      <c r="N4" s="128"/>
      <c r="O4" s="129" t="str">
        <f t="shared" si="0"/>
        <v>RAININ LTS20</v>
      </c>
    </row>
    <row r="5" spans="1:15" s="129" customFormat="1" ht="14.25">
      <c r="A5" s="121" t="s">
        <v>162</v>
      </c>
      <c r="B5" s="130" t="s">
        <v>146</v>
      </c>
      <c r="C5" s="131" t="s">
        <v>163</v>
      </c>
      <c r="D5" s="131" t="s">
        <v>164</v>
      </c>
      <c r="E5" s="132" t="s">
        <v>165</v>
      </c>
      <c r="F5" s="132"/>
      <c r="G5" s="132"/>
      <c r="H5" s="132"/>
      <c r="I5" s="133" t="s">
        <v>152</v>
      </c>
      <c r="J5" s="133">
        <v>4</v>
      </c>
      <c r="K5" s="133" t="s">
        <v>166</v>
      </c>
      <c r="L5" s="136"/>
      <c r="M5" s="127" t="s">
        <v>153</v>
      </c>
      <c r="N5" s="128"/>
      <c r="O5" s="129" t="str">
        <f t="shared" si="0"/>
        <v>eppendorf 連続分注</v>
      </c>
    </row>
    <row r="6" spans="1:15" s="142" customFormat="1" ht="14.25">
      <c r="A6" s="121" t="s">
        <v>167</v>
      </c>
      <c r="B6" s="137" t="s">
        <v>168</v>
      </c>
      <c r="C6" s="138" t="s">
        <v>169</v>
      </c>
      <c r="D6" s="138" t="s">
        <v>158</v>
      </c>
      <c r="E6" s="138" t="s">
        <v>170</v>
      </c>
      <c r="F6" s="138"/>
      <c r="G6" s="138">
        <v>100</v>
      </c>
      <c r="H6" s="138">
        <v>10</v>
      </c>
      <c r="I6" s="139" t="s">
        <v>152</v>
      </c>
      <c r="J6" s="139">
        <v>1</v>
      </c>
      <c r="K6" s="140">
        <v>7</v>
      </c>
      <c r="L6" s="141">
        <v>1</v>
      </c>
      <c r="M6" s="127" t="s">
        <v>153</v>
      </c>
      <c r="N6" s="128">
        <v>42649</v>
      </c>
      <c r="O6" s="129" t="str">
        <f t="shared" si="0"/>
        <v>Eppendorf P10-100</v>
      </c>
    </row>
    <row r="7" spans="1:15" s="142" customFormat="1" ht="14.25">
      <c r="A7" s="121" t="s">
        <v>171</v>
      </c>
      <c r="B7" s="143" t="s">
        <v>168</v>
      </c>
      <c r="C7" s="144" t="s">
        <v>172</v>
      </c>
      <c r="D7" s="144" t="s">
        <v>158</v>
      </c>
      <c r="E7" s="144" t="s">
        <v>173</v>
      </c>
      <c r="F7" s="144"/>
      <c r="G7" s="144">
        <v>20</v>
      </c>
      <c r="H7" s="144">
        <v>2</v>
      </c>
      <c r="I7" s="145" t="s">
        <v>174</v>
      </c>
      <c r="J7" s="145">
        <v>8</v>
      </c>
      <c r="K7" s="146">
        <v>8</v>
      </c>
      <c r="L7" s="147">
        <v>8</v>
      </c>
      <c r="M7" s="127" t="s">
        <v>175</v>
      </c>
      <c r="N7" s="128">
        <v>42650</v>
      </c>
      <c r="O7" s="129" t="str">
        <f t="shared" si="0"/>
        <v>GILSON P20</v>
      </c>
    </row>
    <row r="8" spans="1:15" s="142" customFormat="1" ht="14.25">
      <c r="A8" s="121" t="s">
        <v>176</v>
      </c>
      <c r="B8" s="143" t="s">
        <v>168</v>
      </c>
      <c r="C8" s="144" t="s">
        <v>172</v>
      </c>
      <c r="D8" s="144" t="s">
        <v>158</v>
      </c>
      <c r="E8" s="144" t="s">
        <v>177</v>
      </c>
      <c r="F8" s="144"/>
      <c r="G8" s="144">
        <v>1000</v>
      </c>
      <c r="H8" s="144">
        <v>200</v>
      </c>
      <c r="I8" s="145" t="s">
        <v>174</v>
      </c>
      <c r="J8" s="145">
        <v>12</v>
      </c>
      <c r="K8" s="148"/>
      <c r="L8" s="149">
        <v>12</v>
      </c>
      <c r="M8" s="127" t="s">
        <v>175</v>
      </c>
      <c r="N8" s="128">
        <v>42651</v>
      </c>
      <c r="O8" s="129" t="str">
        <f t="shared" si="0"/>
        <v>GILSON P1000</v>
      </c>
    </row>
    <row r="9" spans="1:15" s="142" customFormat="1" ht="14.25">
      <c r="A9" s="121" t="s">
        <v>178</v>
      </c>
      <c r="B9" s="143" t="s">
        <v>168</v>
      </c>
      <c r="C9" s="144" t="s">
        <v>172</v>
      </c>
      <c r="D9" s="144" t="s">
        <v>158</v>
      </c>
      <c r="E9" s="150" t="s">
        <v>179</v>
      </c>
      <c r="F9" s="150"/>
      <c r="G9" s="144">
        <v>1000</v>
      </c>
      <c r="H9" s="144">
        <v>200</v>
      </c>
      <c r="I9" s="145" t="s">
        <v>174</v>
      </c>
      <c r="J9" s="145">
        <v>8</v>
      </c>
      <c r="K9" s="146"/>
      <c r="L9" s="147">
        <v>8</v>
      </c>
      <c r="M9" s="127" t="s">
        <v>153</v>
      </c>
      <c r="N9" s="128">
        <v>42652</v>
      </c>
      <c r="O9" s="129" t="str">
        <f t="shared" si="0"/>
        <v>GILSON P-1000</v>
      </c>
    </row>
    <row r="10" spans="1:15" s="142" customFormat="1" ht="14.25">
      <c r="A10" s="121" t="s">
        <v>180</v>
      </c>
      <c r="B10" s="143" t="s">
        <v>168</v>
      </c>
      <c r="C10" s="144" t="s">
        <v>181</v>
      </c>
      <c r="D10" s="144" t="s">
        <v>155</v>
      </c>
      <c r="E10" s="144" t="s">
        <v>182</v>
      </c>
      <c r="F10" s="144"/>
      <c r="G10" s="144">
        <v>1500</v>
      </c>
      <c r="H10" s="144">
        <v>150</v>
      </c>
      <c r="I10" s="145" t="s">
        <v>174</v>
      </c>
      <c r="J10" s="145">
        <v>2</v>
      </c>
      <c r="K10" s="146"/>
      <c r="L10" s="147"/>
      <c r="M10" s="127" t="s">
        <v>175</v>
      </c>
      <c r="N10" s="128">
        <v>42653</v>
      </c>
      <c r="O10" s="129" t="str">
        <f t="shared" si="0"/>
        <v>FINN 8連1500，電動</v>
      </c>
    </row>
    <row r="11" spans="1:15" s="142" customFormat="1" ht="14.25">
      <c r="A11" s="121" t="s">
        <v>183</v>
      </c>
      <c r="B11" s="143" t="s">
        <v>168</v>
      </c>
      <c r="C11" s="144" t="s">
        <v>181</v>
      </c>
      <c r="D11" s="144" t="s">
        <v>155</v>
      </c>
      <c r="E11" s="144" t="s">
        <v>184</v>
      </c>
      <c r="F11" s="144"/>
      <c r="G11" s="144">
        <v>300</v>
      </c>
      <c r="H11" s="144">
        <v>30</v>
      </c>
      <c r="I11" s="145" t="s">
        <v>152</v>
      </c>
      <c r="J11" s="145">
        <v>4</v>
      </c>
      <c r="K11" s="145">
        <v>10</v>
      </c>
      <c r="L11" s="151"/>
      <c r="M11" s="127" t="s">
        <v>175</v>
      </c>
      <c r="N11" s="128">
        <v>42654</v>
      </c>
      <c r="O11" s="129" t="str">
        <f t="shared" si="0"/>
        <v>FINN 8連300</v>
      </c>
    </row>
    <row r="12" spans="1:15" s="158" customFormat="1" ht="14.25">
      <c r="A12" s="121" t="s">
        <v>185</v>
      </c>
      <c r="B12" s="152" t="s">
        <v>186</v>
      </c>
      <c r="C12" s="153" t="s">
        <v>187</v>
      </c>
      <c r="D12" s="153" t="s">
        <v>158</v>
      </c>
      <c r="E12" s="153" t="s">
        <v>188</v>
      </c>
      <c r="F12" s="153"/>
      <c r="G12" s="153">
        <v>20</v>
      </c>
      <c r="H12" s="153">
        <v>2</v>
      </c>
      <c r="I12" s="154" t="s">
        <v>152</v>
      </c>
      <c r="J12" s="155">
        <v>5</v>
      </c>
      <c r="K12" s="156">
        <v>11</v>
      </c>
      <c r="L12" s="157">
        <v>5</v>
      </c>
      <c r="M12" s="127" t="s">
        <v>175</v>
      </c>
      <c r="N12" s="128">
        <v>42655</v>
      </c>
      <c r="O12" s="129" t="str">
        <f t="shared" si="0"/>
        <v>EPPENDORF マイクロピペッター</v>
      </c>
    </row>
    <row r="13" spans="1:15" s="158" customFormat="1" ht="14.25">
      <c r="A13" s="159" t="s">
        <v>189</v>
      </c>
      <c r="B13" s="160" t="s">
        <v>186</v>
      </c>
      <c r="C13" s="161" t="s">
        <v>187</v>
      </c>
      <c r="D13" s="162" t="s">
        <v>190</v>
      </c>
      <c r="E13" s="162" t="s">
        <v>191</v>
      </c>
      <c r="F13" s="162"/>
      <c r="G13" s="162"/>
      <c r="H13" s="162"/>
      <c r="I13" s="163" t="s">
        <v>152</v>
      </c>
      <c r="J13" s="164">
        <v>5</v>
      </c>
      <c r="K13" s="165">
        <v>11</v>
      </c>
      <c r="L13" s="166"/>
      <c r="M13" s="167" t="s">
        <v>175</v>
      </c>
      <c r="N13" s="128">
        <v>42656</v>
      </c>
      <c r="O13" s="129" t="str">
        <f t="shared" si="0"/>
        <v>EPPENDORF 連続分注器</v>
      </c>
    </row>
    <row r="17" spans="1:13">
      <c r="A17" s="168" t="s">
        <v>192</v>
      </c>
      <c r="B17" s="169"/>
    </row>
    <row r="18" spans="1:13">
      <c r="M18" s="168" t="s">
        <v>193</v>
      </c>
    </row>
    <row r="22" spans="1:13">
      <c r="D22" s="168" t="s">
        <v>194</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検定記録書</vt:lpstr>
      <vt:lpstr>データ</vt:lpstr>
      <vt:lpstr>検定記録書!Print_Area</vt:lpstr>
    </vt:vector>
  </TitlesOfParts>
  <Company>Phramacia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Umayahara Ren</cp:lastModifiedBy>
  <cp:lastPrinted>2016-10-28T02:06:36Z</cp:lastPrinted>
  <dcterms:created xsi:type="dcterms:W3CDTF">1997-06-19T07:40:59Z</dcterms:created>
  <dcterms:modified xsi:type="dcterms:W3CDTF">2016-10-31T11:14:36Z</dcterms:modified>
</cp:coreProperties>
</file>
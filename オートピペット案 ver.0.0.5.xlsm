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<sst xmlns="http://schemas.openxmlformats.org/spreadsheetml/2006/main" count="256" uniqueCount="222">
  <si>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</si>
  <si>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</si>
  <si>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</si>
  <si>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</si>
  <si>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</si>
  <si>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</si>
  <si>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</si>
  <si>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</si>
  <si>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</si>
  <si>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</si>
  <si>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</si>
  <si>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</si>
  <si>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</si>
  <si>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</si>
  <si>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</si>
  <si>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</si>
  <si>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</si>
  <si>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</si>
  <si>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</si>
  <si>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</si>
  <si>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</si>
  <si>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</si>
  <si>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</si>
  <si>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</si>
  <si>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</si>
  <si>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</si>
  <si>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</si>
  <si>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</si>
  <si>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</si>
  <si>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</si>
  <si>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</si>
  <si>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</si>
  <si>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</si>
  <si>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</si>
  <si>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</si>
  <si>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</si>
  <si>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</si>
  <si>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</si>
  <si>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</si>
  <si>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</si>
  <si>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</si>
  <si>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</si>
  <si>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</si>
  <si>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</si>
  <si>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</si>
  <si>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</si>
  <si>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</si>
  <si>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</si>
  <si>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</si>
  <si>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</si>
  <si>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</si>
  <si>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</si>
  <si>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</si>
  <si>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</si>
  <si>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</si>
  <si>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</si>
  <si>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</si>
  <si>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</si>
  <si>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</si>
  <si>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</si>
  <si>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</si>
  <si>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</si>
  <si>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</si>
  <si>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</si>
  <si>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</si>
  <si>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</si>
  <si>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</si>
  <si>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</si>
  <si>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</si>
  <si>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</si>
  <si>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</si>
  <si>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</si>
  <si>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</si>
  <si>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</si>
  <si>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</si>
  <si>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</si>
  <si>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</si>
  <si>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</si>
  <si>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</si>
  <si>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</si>
  <si>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</si>
  <si>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</si>
  <si>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</si>
  <si>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</si>
  <si>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</si>
  <si>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</si>
  <si>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</si>
  <si>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</si>
  <si>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</si>
  <si>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</si>
  <si>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</si>
  <si>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</si>
  <si>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</si>
  <si>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</si>
  <si>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</si>
  <si>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</si>
  <si>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</si>
  <si>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</si>
  <si>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</si>
  <si>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</si>
  <si>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</si>
  <si>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</si>
  <si>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</si>
  <si>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</si>
  <si>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</si>
  <si>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</si>
  <si>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</si>
  <si>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</si>
  <si>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</si>
  <si>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</si>
  <si>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</si>
  <si>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</si>
  <si>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</si>
  <si>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</si>
  <si>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</si>
  <si>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</si>
  <si>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</si>
  <si>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</si>
  <si>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</si>
  <si>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</si>
  <si>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</si>
  <si>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</si>
  <si>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</si>
  <si>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</si>
  <si>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</si>
  <si>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</si>
  <si>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</si>
  <si>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</si>
  <si>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</si>
  <si>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</si>
  <si>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</si>
  <si>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</si>
  <si>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</si>
  <si>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</si>
  <si>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</si>
  <si>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</si>
  <si>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</si>
  <si>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</si>
  <si>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</si>
  <si>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</si>
  <si>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</si>
  <si>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</si>
  <si>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</si>
  <si>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</si>
  <si>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</si>
  <si>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</si>
  <si>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</si>
  <si>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</si>
  <si>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</si>
  <si>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</si>
  <si>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</si>
  <si>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</si>
  <si>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</si>
  <si>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</si>
  <si>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</si>
  <si>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</si>
  <si>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</si>
  <si>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</si>
  <si>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</si>
  <si>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</si>
  <si>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</si>
  <si>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</si>
  <si>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</si>
  <si>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</si>
  <si>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</si>
  <si>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</si>
  <si>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</si>
  <si>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</si>
  <si>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</si>
  <si>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</si>
  <si>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</si>
  <si>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</si>
  <si>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</si>
  <si>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</si>
  <si>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</si>
  <si>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</si>
  <si>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</si>
  <si>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</si>
  <si>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</si>
  <si>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</si>
  <si>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</si>
  <si>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</si>
  <si>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点　検
責任者</t>
    <rPh sb="0" eb="1">
      <t>テン</t>
    </rPh>
    <rPh sb="2" eb="3">
      <t>ケン</t>
    </rPh>
    <rPh sb="4" eb="7">
      <t>セキニンシャ</t>
    </rPh>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</si>
  <si>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</si>
  <si>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</si>
  <si>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</si>
  <si>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</si>
  <si>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</si>
  <si>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</si>
  <si>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</si>
  <si>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</si>
  <si>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</si>
  <si>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</si>
  <si>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</si>
  <si>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</si>
  <si>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</si>
  <si>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</si>
  <si>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</si>
  <si>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</si>
  <si>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</si>
  <si>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</si>
  <si>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</si>
  <si>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齋藤智様(4241)、川上信彦様(9157)、中村裕子様(4569)</t>
    <rPh sb="23" eb="25">
      <t>ナカムラ</t>
    </rPh>
    <rPh sb="25" eb="27">
      <t>ユウコ</t>
    </rPh>
    <rPh sb="27" eb="28">
      <t>サマ</t>
    </rPh>
    <phoneticPr fontId="14"/>
  </si>
  <si>
    <t>PIPETTE</t>
    <phoneticPr fontId="1"/>
  </si>
  <si>
    <t>18113</t>
  </si>
  <si>
    <t>ATRD</t>
  </si>
  <si>
    <t>RY02</t>
  </si>
  <si>
    <t>RAININ</t>
  </si>
  <si>
    <t>12ch（12連）</t>
    <rPh sb="7" eb="8">
      <t>レン</t>
    </rPh>
    <phoneticPr fontId="14"/>
  </si>
  <si>
    <t>LTS</t>
  </si>
  <si>
    <t>20-200ul</t>
    <phoneticPr fontId="26"/>
  </si>
  <si>
    <t>K0210953A</t>
  </si>
  <si>
    <t>E55</t>
  </si>
  <si>
    <t>A6F</t>
  </si>
  <si>
    <t>実験室6-1</t>
    <rPh sb="0" eb="3">
      <t>ジッケンシツ</t>
    </rPh>
    <phoneticPr fontId="26"/>
  </si>
  <si>
    <t>2PM</t>
  </si>
  <si>
    <t>4,x</t>
  </si>
  <si>
    <t>4, 10</t>
    <phoneticPr fontId="14"/>
  </si>
  <si>
    <t>分解対象外</t>
    <phoneticPr fontId="26"/>
  </si>
  <si>
    <t>200μL - 20μL</t>
  </si>
  <si>
    <t>RAININ LTS</t>
  </si>
  <si>
    <t>JTP2</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</si>
</sst>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7">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5">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6"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14" fontId="0" fillId="0" borderId="0" xfId="0" applyNumberFormat="1" applyAlignment="1">
      <alignment vertical="center"/>
    </xf>
    <xf numFmtId="0" fontId="4" fillId="0" borderId="48" xfId="0" applyFont="1" applyFill="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0" fontId="4" fillId="0" borderId="28" xfId="0"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1" xfId="0"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4" fillId="0" borderId="47" xfId="0"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185" fontId="4" fillId="0" borderId="28" xfId="0" applyNumberFormat="1" applyFont="1" applyBorder="1" applyAlignment="1" applyProtection="1">
      <alignment horizontal="center"/>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0" fontId="4" fillId="0" borderId="51" xfId="0" applyFont="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4" fillId="0" borderId="24" xfId="0" quotePrefix="1" applyFont="1" applyBorder="1" applyAlignment="1" applyProtection="1">
      <alignment horizont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12" fillId="0" borderId="44" xfId="0" applyFont="1" applyFill="1" applyBorder="1" applyAlignment="1" applyProtection="1">
      <alignment horizontal="center" vertic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0" fontId="18" fillId="0" borderId="23"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E1" sqref="E1"/>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153</v>
      </c>
      <c r="B1" s="70" t="s">
        <v>183</v>
      </c>
      <c r="C1" s="71" t="s">
        <v>184</v>
      </c>
      <c r="D1" s="72" t="s">
        <v>185</v>
      </c>
      <c r="E1" s="73" t="s">
        <v>186</v>
      </c>
      <c r="F1" s="74" t="s">
        <v>187</v>
      </c>
      <c r="G1" s="75" t="s">
        <v>188</v>
      </c>
      <c r="H1" s="71" t="s">
        <v>189</v>
      </c>
      <c r="I1" s="71" t="s">
        <v>190</v>
      </c>
      <c r="J1" s="71" t="s">
        <v>191</v>
      </c>
      <c r="K1" s="71" t="s">
        <v>192</v>
      </c>
      <c r="L1" s="71" t="s">
        <v>193</v>
      </c>
      <c r="M1" s="76" t="s">
        <v>194</v>
      </c>
      <c r="N1" s="71" t="s">
        <v>195</v>
      </c>
      <c r="O1" s="77" t="s">
        <v>196</v>
      </c>
      <c r="P1" s="76" t="s">
        <v>197</v>
      </c>
      <c r="Q1" s="74" t="s">
        <v>198</v>
      </c>
      <c r="R1" s="74" t="s">
        <v>199</v>
      </c>
      <c r="S1" s="78" t="s">
        <v>200</v>
      </c>
      <c r="T1" s="79" t="s">
        <v>200</v>
      </c>
      <c r="U1" s="80" t="s">
        <v>201</v>
      </c>
      <c r="V1" s="80" t="s">
        <v>143</v>
      </c>
      <c r="W1" s="80" t="s">
        <v>143</v>
      </c>
    </row>
    <row r="2" spans="1:23" s="81" customFormat="1" ht="14.25">
      <c r="A2" s="86" t="s">
        <v>202</v>
      </c>
      <c r="B2" s="86"/>
      <c r="C2" s="87" t="s">
        <v>203</v>
      </c>
      <c r="D2" s="88" t="s">
        <v>204</v>
      </c>
      <c r="E2" s="89"/>
      <c r="F2" s="90" t="s">
        <v>205</v>
      </c>
      <c r="G2" s="90" t="s">
        <v>206</v>
      </c>
      <c r="H2" s="87" t="s">
        <v>207</v>
      </c>
      <c r="I2" s="87" t="s">
        <v>208</v>
      </c>
      <c r="J2" s="91" t="s">
        <v>209</v>
      </c>
      <c r="K2" s="87" t="s">
        <v>210</v>
      </c>
      <c r="L2" s="91" t="s">
        <v>211</v>
      </c>
      <c r="M2" s="91" t="s">
        <v>212</v>
      </c>
      <c r="N2" s="87" t="s">
        <v>213</v>
      </c>
      <c r="O2" s="90">
        <v>6060</v>
      </c>
      <c r="P2" s="87" t="s">
        <v>214</v>
      </c>
      <c r="Q2" s="92" t="s">
        <v>154</v>
      </c>
      <c r="R2" s="92" t="s">
        <v>215</v>
      </c>
      <c r="S2" s="92" t="s">
        <v>216</v>
      </c>
      <c r="T2" s="93" t="s">
        <v>217</v>
      </c>
      <c r="U2" s="94">
        <v>42696</v>
      </c>
      <c r="V2" s="94">
        <v>42877</v>
      </c>
      <c r="W2" s="81" t="s">
        <v>218</v>
      </c>
    </row>
    <row r="4" spans="1:23">
      <c r="A4" t="s">
        <v>22</v>
      </c>
      <c r="B4" t="s">
        <v>28</v>
      </c>
      <c r="E4" t="s">
        <v>29</v>
      </c>
      <c r="H4" t="s">
        <v>139</v>
      </c>
    </row>
    <row r="5" spans="1:23">
      <c r="A5" t="s">
        <v>23</v>
      </c>
      <c r="B5" t="s">
        <v>174</v>
      </c>
      <c r="C5" t="s">
        <v>12</v>
      </c>
      <c r="E5" t="s">
        <v>21</v>
      </c>
      <c r="F5" t="s">
        <v>12</v>
      </c>
      <c r="H5" t="s">
        <v>141</v>
      </c>
      <c r="I5" t="s">
        <v>12</v>
      </c>
    </row>
    <row r="6" spans="1:23">
      <c r="A6" t="s">
        <v>24</v>
      </c>
      <c r="B6" t="s">
        <v>13</v>
      </c>
      <c r="C6" t="s">
        <v>133</v>
      </c>
      <c r="E6" t="s">
        <v>177</v>
      </c>
      <c r="F6" t="s">
        <v>179</v>
      </c>
      <c r="H6" t="s">
        <v>156</v>
      </c>
      <c r="I6" t="s">
        <v>158</v>
      </c>
    </row>
    <row r="7" spans="1:23">
      <c r="A7" t="s">
        <v>25</v>
      </c>
      <c r="B7" t="s">
        <v>14</v>
      </c>
      <c r="C7" s="67" t="s">
        <v>138</v>
      </c>
      <c r="E7" t="s">
        <v>178</v>
      </c>
      <c r="H7" t="s">
        <v>157</v>
      </c>
      <c r="I7" t="s">
        <v>151</v>
      </c>
    </row>
    <row r="8" spans="1:23">
      <c r="A8" t="s">
        <v>26</v>
      </c>
      <c r="B8" t="s">
        <v>172</v>
      </c>
      <c r="C8">
        <v>2</v>
      </c>
      <c r="E8" t="s">
        <v>15</v>
      </c>
      <c r="F8" t="s">
        <v>104</v>
      </c>
      <c r="H8" t="s">
        <v>180</v>
      </c>
      <c r="I8">
        <v>2</v>
      </c>
    </row>
    <row r="9" spans="1:23">
      <c r="A9" t="s">
        <v>27</v>
      </c>
      <c r="B9" t="s">
        <v>163</v>
      </c>
      <c r="C9" t="s">
        <v>119</v>
      </c>
      <c r="E9" t="s">
        <v>16</v>
      </c>
      <c r="F9" t="s">
        <v>105</v>
      </c>
      <c r="H9" t="s">
        <v>181</v>
      </c>
      <c r="I9" t="s">
        <v>146</v>
      </c>
    </row>
    <row r="10" spans="1:23">
      <c r="A10" t="s">
        <v>31</v>
      </c>
      <c r="B10" t="s">
        <v>162</v>
      </c>
      <c r="C10" t="s">
        <v>134</v>
      </c>
      <c r="E10" t="s">
        <v>17</v>
      </c>
      <c r="F10" t="s">
        <v>106</v>
      </c>
      <c r="H10" t="s">
        <v>142</v>
      </c>
      <c r="I10" t="s">
        <v>147</v>
      </c>
    </row>
    <row r="11" spans="1:23">
      <c r="B11" t="s">
        <v>165</v>
      </c>
      <c r="C11" s="68" t="s">
        <v>135</v>
      </c>
      <c r="E11" t="s">
        <v>30</v>
      </c>
      <c r="F11" t="s">
        <v>108</v>
      </c>
      <c r="H11" t="s">
        <v>159</v>
      </c>
      <c r="I11" t="s">
        <v>120</v>
      </c>
    </row>
    <row r="12" spans="1:23">
      <c r="B12" t="s">
        <v>169</v>
      </c>
      <c r="C12" s="68" t="s">
        <v>173</v>
      </c>
      <c r="E12" t="s">
        <v>18</v>
      </c>
      <c r="F12" t="s">
        <v>107</v>
      </c>
      <c r="H12" t="s">
        <v>161</v>
      </c>
      <c r="I12" t="s">
        <v>148</v>
      </c>
    </row>
    <row r="13" spans="1:23">
      <c r="B13" t="s">
        <v>166</v>
      </c>
      <c r="C13" s="68" t="s">
        <v>136</v>
      </c>
      <c r="E13" t="s">
        <v>116</v>
      </c>
      <c r="F13" t="s">
        <v>109</v>
      </c>
      <c r="H13" t="s">
        <v>160</v>
      </c>
      <c r="I13" t="s">
        <v>149</v>
      </c>
    </row>
    <row r="14" spans="1:23">
      <c r="B14" s="68" t="s">
        <v>170</v>
      </c>
      <c r="C14" s="68" t="s">
        <v>137</v>
      </c>
      <c r="E14" t="s">
        <v>117</v>
      </c>
      <c r="F14" t="s">
        <v>110</v>
      </c>
      <c r="H14" t="s">
        <v>144</v>
      </c>
    </row>
    <row r="15" spans="1:23">
      <c r="B15" t="s">
        <v>176</v>
      </c>
      <c r="C15" s="68" t="s">
        <v>155</v>
      </c>
      <c r="E15" t="s">
        <v>19</v>
      </c>
      <c r="F15" t="s">
        <v>111</v>
      </c>
    </row>
    <row r="16" spans="1:23">
      <c r="B16" t="s">
        <v>167</v>
      </c>
      <c r="C16" s="68" t="s">
        <v>152</v>
      </c>
      <c r="E16" t="s">
        <v>20</v>
      </c>
      <c r="F16" t="s">
        <v>112</v>
      </c>
    </row>
    <row r="17" spans="2:6">
      <c r="B17" s="68" t="s">
        <v>168</v>
      </c>
      <c r="C17" s="68" t="s">
        <v>171</v>
      </c>
      <c r="E17" t="s">
        <v>32</v>
      </c>
      <c r="F17" t="s">
        <v>118</v>
      </c>
    </row>
    <row r="18" spans="2:6">
      <c r="B18" t="s">
        <v>164</v>
      </c>
      <c r="C18" s="68" t="s">
        <v>175</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82" bestFit="1" customWidth="1"/>
    <col min="2" max="4" width="14.875" style="83" bestFit="1" customWidth="1"/>
    <col min="5" max="5" width="19.875" style="82" customWidth="1"/>
  </cols>
  <sheetData>
    <row r="1" spans="1:5">
      <c r="A1" s="84" t="s">
        <v>11</v>
      </c>
      <c r="B1" s="85" t="s">
        <v>150</v>
      </c>
      <c r="C1" s="85" t="s">
        <v>140</v>
      </c>
      <c r="D1" s="85" t="s">
        <v>143</v>
      </c>
      <c r="E1" s="84" t="s">
        <v>145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L13" sqref="L13:O13"/>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93"/>
      <c r="B1" s="194"/>
      <c r="C1" s="194"/>
      <c r="D1" s="194"/>
      <c r="E1" s="194"/>
      <c r="F1" s="194"/>
      <c r="G1" s="195"/>
      <c r="H1" s="202"/>
      <c r="I1" s="202"/>
      <c r="J1" s="22"/>
      <c r="K1" s="22"/>
      <c r="L1" s="22"/>
      <c r="M1" s="22"/>
      <c r="N1" s="22"/>
      <c r="O1" s="22"/>
      <c r="P1" s="22"/>
      <c r="Q1" s="22"/>
      <c r="R1" s="22"/>
      <c r="S1" s="23"/>
      <c r="T1" s="24"/>
      <c r="U1" s="24"/>
      <c r="V1" s="25"/>
      <c r="W1" s="25"/>
      <c r="X1" s="54"/>
      <c r="Y1" s="51"/>
    </row>
    <row r="2" spans="1:25" s="1" customFormat="1" ht="18" customHeight="1">
      <c r="A2" s="196"/>
      <c r="B2" s="197"/>
      <c r="C2" s="197"/>
      <c r="D2" s="197"/>
      <c r="E2" s="197"/>
      <c r="F2" s="197"/>
      <c r="G2" s="198"/>
      <c r="H2" s="203" t="s">
        <v>4</v>
      </c>
      <c r="I2" s="204"/>
      <c r="J2" s="204"/>
      <c r="K2" s="204"/>
      <c r="L2" s="204"/>
      <c r="M2" s="204"/>
      <c r="N2" s="204"/>
      <c r="O2" s="204"/>
      <c r="P2" s="204"/>
      <c r="Q2" s="204"/>
      <c r="R2" s="204"/>
      <c r="S2" s="204"/>
      <c r="T2" s="204"/>
      <c r="U2" s="204"/>
      <c r="V2" s="204"/>
      <c r="W2" s="204"/>
      <c r="X2" s="205"/>
      <c r="Y2" s="51"/>
    </row>
    <row r="3" spans="1:25" s="1" customFormat="1" ht="15" customHeight="1">
      <c r="A3" s="196"/>
      <c r="B3" s="197"/>
      <c r="C3" s="197"/>
      <c r="D3" s="197"/>
      <c r="E3" s="197"/>
      <c r="F3" s="197"/>
      <c r="G3" s="198"/>
      <c r="H3" s="203"/>
      <c r="I3" s="204"/>
      <c r="J3" s="204"/>
      <c r="K3" s="204"/>
      <c r="L3" s="204"/>
      <c r="M3" s="204"/>
      <c r="N3" s="204"/>
      <c r="O3" s="204"/>
      <c r="P3" s="204"/>
      <c r="Q3" s="204"/>
      <c r="R3" s="204"/>
      <c r="S3" s="204"/>
      <c r="T3" s="204"/>
      <c r="U3" s="204"/>
      <c r="V3" s="204"/>
      <c r="W3" s="204"/>
      <c r="X3" s="205"/>
      <c r="Y3" s="51"/>
    </row>
    <row r="4" spans="1:25" s="1" customFormat="1" ht="4.5" customHeight="1">
      <c r="A4" s="199"/>
      <c r="B4" s="200"/>
      <c r="C4" s="200"/>
      <c r="D4" s="200"/>
      <c r="E4" s="200"/>
      <c r="F4" s="200"/>
      <c r="G4" s="201"/>
      <c r="H4" s="26"/>
      <c r="I4" s="26"/>
      <c r="J4" s="26"/>
      <c r="K4" s="26"/>
      <c r="L4" s="26"/>
      <c r="M4" s="26"/>
      <c r="N4" s="26"/>
      <c r="O4" s="26"/>
      <c r="P4" s="26"/>
      <c r="Q4" s="26"/>
      <c r="R4" s="26"/>
      <c r="S4" s="26"/>
      <c r="T4" s="26"/>
      <c r="U4" s="26"/>
      <c r="V4" s="26"/>
      <c r="W4" s="26"/>
      <c r="X4" s="55"/>
      <c r="Y4" s="51"/>
    </row>
    <row r="5" spans="1:25" s="1" customFormat="1" ht="13.5" customHeight="1">
      <c r="A5" s="206" t="s">
        <v>38</v>
      </c>
      <c r="B5" s="207"/>
      <c r="C5" s="207"/>
      <c r="D5" s="207"/>
      <c r="E5" s="207"/>
      <c r="F5" s="207"/>
      <c r="G5" s="208"/>
      <c r="H5" s="215" t="s">
        <v>39</v>
      </c>
      <c r="I5" s="216"/>
      <c r="J5" s="216"/>
      <c r="K5" s="221" t="s">
        <v>40</v>
      </c>
      <c r="L5" s="221"/>
      <c r="M5" s="221"/>
      <c r="N5" s="221"/>
      <c r="O5" s="221"/>
      <c r="P5" s="221"/>
      <c r="Q5" s="221"/>
      <c r="R5" s="222"/>
      <c r="S5" s="227" t="s">
        <v>41</v>
      </c>
      <c r="T5" s="221"/>
      <c r="U5" s="221"/>
      <c r="V5" s="221"/>
      <c r="W5" s="221"/>
      <c r="X5" s="228"/>
      <c r="Y5" s="51"/>
    </row>
    <row r="6" spans="1:25" s="1" customFormat="1" ht="13.5" customHeight="1">
      <c r="A6" s="209"/>
      <c r="B6" s="210"/>
      <c r="C6" s="210"/>
      <c r="D6" s="210"/>
      <c r="E6" s="210"/>
      <c r="F6" s="210"/>
      <c r="G6" s="211"/>
      <c r="H6" s="217"/>
      <c r="I6" s="218"/>
      <c r="J6" s="218"/>
      <c r="K6" s="223"/>
      <c r="L6" s="223"/>
      <c r="M6" s="223"/>
      <c r="N6" s="223"/>
      <c r="O6" s="223"/>
      <c r="P6" s="223"/>
      <c r="Q6" s="223"/>
      <c r="R6" s="224"/>
      <c r="S6" s="229"/>
      <c r="T6" s="223"/>
      <c r="U6" s="223"/>
      <c r="V6" s="223"/>
      <c r="W6" s="223"/>
      <c r="X6" s="230"/>
      <c r="Y6" s="51"/>
    </row>
    <row r="7" spans="1:25" s="1" customFormat="1" ht="13.5" customHeight="1" thickBot="1">
      <c r="A7" s="212"/>
      <c r="B7" s="213"/>
      <c r="C7" s="213"/>
      <c r="D7" s="213"/>
      <c r="E7" s="213"/>
      <c r="F7" s="213"/>
      <c r="G7" s="214"/>
      <c r="H7" s="219"/>
      <c r="I7" s="220"/>
      <c r="J7" s="220"/>
      <c r="K7" s="225"/>
      <c r="L7" s="225"/>
      <c r="M7" s="225"/>
      <c r="N7" s="225"/>
      <c r="O7" s="225"/>
      <c r="P7" s="225"/>
      <c r="Q7" s="225"/>
      <c r="R7" s="226"/>
      <c r="S7" s="231"/>
      <c r="T7" s="225"/>
      <c r="U7" s="225"/>
      <c r="V7" s="225"/>
      <c r="W7" s="225"/>
      <c r="X7" s="232"/>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251" t="s">
        <v>44</v>
      </c>
      <c r="B13" s="252"/>
      <c r="C13" s="252"/>
      <c r="D13" s="252"/>
      <c r="E13" s="252"/>
      <c r="F13" s="253" t="s">
        <v>45</v>
      </c>
      <c r="G13" s="253"/>
      <c r="H13" s="253"/>
      <c r="I13" s="253"/>
      <c r="J13" s="253"/>
      <c r="K13" s="253"/>
      <c r="L13" s="252" t="s">
        <v>46</v>
      </c>
      <c r="M13" s="252"/>
      <c r="N13" s="252"/>
      <c r="O13" s="252"/>
      <c r="P13" s="254">
        <v>42699</v>
      </c>
      <c r="Q13" s="254"/>
      <c r="R13" s="254"/>
      <c r="S13" s="254"/>
      <c r="T13" s="254"/>
      <c r="U13" s="254"/>
      <c r="V13" s="254"/>
      <c r="W13" s="254"/>
      <c r="X13" s="255"/>
    </row>
    <row r="14" spans="1:25" ht="24.75" customHeight="1">
      <c r="A14" s="256" t="s">
        <v>47</v>
      </c>
      <c r="B14" s="257"/>
      <c r="C14" s="257"/>
      <c r="D14" s="257"/>
      <c r="E14" s="257"/>
      <c r="F14" s="258" t="s">
        <v>206</v>
      </c>
      <c r="G14" s="259"/>
      <c r="H14" s="259"/>
      <c r="I14" s="259"/>
      <c r="J14" s="259"/>
      <c r="K14" s="260"/>
      <c r="L14" s="257" t="s">
        <v>48</v>
      </c>
      <c r="M14" s="257"/>
      <c r="N14" s="257"/>
      <c r="O14" s="257"/>
      <c r="P14" s="258" t="s">
        <v>220</v>
      </c>
      <c r="Q14" s="259"/>
      <c r="R14" s="259"/>
      <c r="S14" s="259"/>
      <c r="T14" s="259"/>
      <c r="U14" s="259"/>
      <c r="V14" s="259"/>
      <c r="W14" s="259"/>
      <c r="X14" s="261"/>
    </row>
    <row r="15" spans="1:25" ht="24.75" customHeight="1" thickBot="1">
      <c r="A15" s="239" t="s">
        <v>49</v>
      </c>
      <c r="B15" s="168"/>
      <c r="C15" s="168"/>
      <c r="D15" s="168"/>
      <c r="E15" s="168"/>
      <c r="F15" s="179" t="s">
        <v>219</v>
      </c>
      <c r="G15" s="240"/>
      <c r="H15" s="240"/>
      <c r="I15" s="240"/>
      <c r="J15" s="240"/>
      <c r="K15" s="240"/>
      <c r="L15" s="241"/>
      <c r="M15" s="242"/>
      <c r="N15" s="242"/>
      <c r="O15" s="243"/>
      <c r="P15" s="241"/>
      <c r="Q15" s="242"/>
      <c r="R15" s="242"/>
      <c r="S15" s="242"/>
      <c r="T15" s="242"/>
      <c r="U15" s="242"/>
      <c r="V15" s="242"/>
      <c r="W15" s="242"/>
      <c r="X15" s="244"/>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245" t="s">
        <v>50</v>
      </c>
      <c r="B17" s="246"/>
      <c r="C17" s="246"/>
      <c r="D17" s="247"/>
      <c r="E17" s="233"/>
      <c r="F17" s="234"/>
      <c r="G17" s="234"/>
      <c r="H17" s="234"/>
      <c r="I17" s="234"/>
      <c r="J17" s="234"/>
      <c r="K17" s="234"/>
      <c r="L17" s="234"/>
      <c r="M17" s="235"/>
      <c r="N17" s="248" t="s">
        <v>51</v>
      </c>
      <c r="O17" s="249"/>
      <c r="P17" s="249"/>
      <c r="Q17" s="250"/>
      <c r="R17" s="236"/>
      <c r="S17" s="237"/>
      <c r="T17" s="237"/>
      <c r="U17" s="237"/>
      <c r="V17" s="237"/>
      <c r="W17" s="237"/>
      <c r="X17" s="238"/>
      <c r="Z17" s="13"/>
      <c r="AA17" s="13"/>
    </row>
    <row r="18" spans="1:35" ht="30" customHeight="1">
      <c r="A18" s="163" t="s">
        <v>52</v>
      </c>
      <c r="B18" s="164"/>
      <c r="C18" s="164"/>
      <c r="D18" s="165"/>
      <c r="E18" s="293" t="s">
        <v>92</v>
      </c>
      <c r="F18" s="291"/>
      <c r="G18" s="291"/>
      <c r="H18" s="291"/>
      <c r="I18" s="294"/>
      <c r="J18" s="294"/>
      <c r="K18" s="294"/>
      <c r="L18" s="294"/>
      <c r="M18" s="294"/>
      <c r="N18" s="294"/>
      <c r="O18" s="291"/>
      <c r="P18" s="291"/>
      <c r="Q18" s="291"/>
      <c r="R18" s="292"/>
      <c r="S18" s="170" t="s">
        <v>53</v>
      </c>
      <c r="T18" s="171"/>
      <c r="U18" s="172"/>
      <c r="V18" s="285"/>
      <c r="W18" s="249"/>
      <c r="X18" s="286"/>
      <c r="Z18" s="7"/>
      <c r="AA18" s="7"/>
    </row>
    <row r="19" spans="1:35" ht="30" customHeight="1" thickBot="1">
      <c r="A19" s="166"/>
      <c r="B19" s="167"/>
      <c r="C19" s="168"/>
      <c r="D19" s="169"/>
      <c r="E19" s="179"/>
      <c r="F19" s="180"/>
      <c r="G19" s="181"/>
      <c r="H19" s="182"/>
      <c r="I19" s="182"/>
      <c r="J19" s="182"/>
      <c r="K19" s="182"/>
      <c r="L19" s="182"/>
      <c r="M19" s="182"/>
      <c r="N19" s="182"/>
      <c r="O19" s="182"/>
      <c r="P19" s="182"/>
      <c r="Q19" s="182"/>
      <c r="R19" s="183"/>
      <c r="S19" s="173"/>
      <c r="T19" s="174"/>
      <c r="U19" s="175"/>
      <c r="V19" s="287"/>
      <c r="W19" s="288"/>
      <c r="X19" s="289"/>
      <c r="Z19" s="14"/>
      <c r="AA19" s="14"/>
    </row>
    <row r="20" spans="1:35" ht="30" customHeight="1">
      <c r="A20" s="272" t="s">
        <v>94</v>
      </c>
      <c r="B20" s="273"/>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274"/>
      <c r="B21" s="275"/>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274"/>
      <c r="B22" s="275"/>
      <c r="C22" s="36"/>
      <c r="D22" s="37"/>
      <c r="E22" s="38"/>
      <c r="F22" s="38"/>
      <c r="G22" s="41"/>
      <c r="H22" s="38"/>
      <c r="I22" s="38"/>
      <c r="J22" s="30"/>
      <c r="K22" s="42"/>
      <c r="L22" s="42"/>
      <c r="M22" s="42"/>
      <c r="N22" s="42"/>
      <c r="O22" s="43"/>
      <c r="P22" s="42"/>
      <c r="Q22" s="42"/>
      <c r="R22" s="42"/>
      <c r="S22" s="38"/>
      <c r="T22" s="38"/>
      <c r="U22" s="38"/>
      <c r="V22" s="38"/>
      <c r="W22" s="38"/>
      <c r="X22" s="44"/>
      <c r="Z22" s="271" t="s">
        <v>35</v>
      </c>
      <c r="AA22" s="271"/>
      <c r="AG22" s="13"/>
      <c r="AH22" s="13"/>
    </row>
    <row r="23" spans="1:35" ht="24.75" thickBot="1">
      <c r="A23" s="274"/>
      <c r="B23" s="275"/>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274"/>
      <c r="B24" s="275"/>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274"/>
      <c r="B25" s="275"/>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274"/>
      <c r="B26" s="275"/>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274"/>
      <c r="B27" s="275"/>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274"/>
      <c r="B28" s="275"/>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290" t="s">
        <v>77</v>
      </c>
      <c r="AG28" s="290"/>
      <c r="AH28" s="290"/>
      <c r="AI28" s="290"/>
    </row>
    <row r="29" spans="1:35" ht="13.5" customHeight="1">
      <c r="A29" s="274"/>
      <c r="B29" s="275"/>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290" t="s">
        <v>78</v>
      </c>
      <c r="AG29" s="290"/>
      <c r="AH29" s="21" t="s">
        <v>87</v>
      </c>
      <c r="AI29" s="21" t="s">
        <v>88</v>
      </c>
    </row>
    <row r="30" spans="1:35" ht="13.5" customHeight="1">
      <c r="A30" s="274"/>
      <c r="B30" s="275"/>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290" t="s">
        <v>82</v>
      </c>
      <c r="AG30" s="21" t="s">
        <v>75</v>
      </c>
      <c r="AH30" s="21" t="s">
        <v>83</v>
      </c>
      <c r="AI30" s="21" t="s">
        <v>89</v>
      </c>
    </row>
    <row r="31" spans="1:35" ht="13.5" customHeight="1">
      <c r="A31" s="274"/>
      <c r="B31" s="275"/>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290"/>
      <c r="AG31" s="21" t="s">
        <v>80</v>
      </c>
      <c r="AH31" s="21" t="s">
        <v>84</v>
      </c>
      <c r="AI31" s="21" t="s">
        <v>84</v>
      </c>
    </row>
    <row r="32" spans="1:35" ht="13.5" customHeight="1">
      <c r="A32" s="274"/>
      <c r="B32" s="275"/>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290"/>
      <c r="AG32" s="21" t="s">
        <v>76</v>
      </c>
      <c r="AH32" s="21" t="s">
        <v>85</v>
      </c>
      <c r="AI32" s="21" t="s">
        <v>85</v>
      </c>
    </row>
    <row r="33" spans="1:35" ht="13.5" customHeight="1">
      <c r="A33" s="274"/>
      <c r="B33" s="275"/>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290" t="s">
        <v>78</v>
      </c>
      <c r="AG33" s="290"/>
      <c r="AH33" s="21" t="s">
        <v>81</v>
      </c>
      <c r="AI33" s="21" t="s">
        <v>91</v>
      </c>
    </row>
    <row r="34" spans="1:35" ht="13.5" customHeight="1">
      <c r="A34" s="274"/>
      <c r="B34" s="275"/>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290" t="s">
        <v>79</v>
      </c>
      <c r="AG34" s="21" t="s">
        <v>75</v>
      </c>
      <c r="AH34" s="21" t="s">
        <v>86</v>
      </c>
      <c r="AI34" s="21" t="s">
        <v>90</v>
      </c>
    </row>
    <row r="35" spans="1:35">
      <c r="A35" s="274"/>
      <c r="B35" s="275"/>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290"/>
      <c r="AG35" s="21" t="s">
        <v>76</v>
      </c>
      <c r="AH35" s="21" t="s">
        <v>85</v>
      </c>
      <c r="AI35" s="21" t="s">
        <v>85</v>
      </c>
    </row>
    <row r="36" spans="1:35">
      <c r="A36" s="274"/>
      <c r="B36" s="275"/>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280"/>
      <c r="B37" s="281"/>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280"/>
      <c r="B38" s="281"/>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280"/>
      <c r="B39" s="281"/>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276" t="s">
        <v>93</v>
      </c>
      <c r="B40" s="277"/>
      <c r="C40" s="37"/>
      <c r="D40" s="106" t="s">
        <v>54</v>
      </c>
      <c r="E40" s="106"/>
      <c r="F40" s="176"/>
      <c r="G40" s="188"/>
      <c r="H40" s="188"/>
      <c r="I40" s="188"/>
      <c r="J40" s="186" t="s">
        <v>62</v>
      </c>
      <c r="K40" s="186"/>
      <c r="L40" s="186"/>
      <c r="M40" s="186"/>
      <c r="N40" s="187"/>
      <c r="O40" s="106" t="s">
        <v>67</v>
      </c>
      <c r="P40" s="106"/>
      <c r="Q40" s="106"/>
      <c r="R40" s="96" t="str">
        <f>IFERROR(VLOOKUP(MROUND($G$40,0.5),$Z$24:$AA$52,2),"－")</f>
        <v>－</v>
      </c>
      <c r="S40" s="97"/>
      <c r="T40" s="98"/>
      <c r="U40" s="106" t="s">
        <v>65</v>
      </c>
      <c r="V40" s="106"/>
      <c r="W40" s="37"/>
      <c r="X40" s="44"/>
      <c r="Y40" s="10"/>
      <c r="Z40" s="16">
        <v>24</v>
      </c>
      <c r="AA40" s="15">
        <v>1.0038</v>
      </c>
      <c r="AG40" s="10"/>
      <c r="AH40" s="12"/>
    </row>
    <row r="41" spans="1:35" ht="15" thickBot="1">
      <c r="A41" s="276"/>
      <c r="B41" s="277"/>
      <c r="C41" s="37"/>
      <c r="D41" s="177" t="s">
        <v>55</v>
      </c>
      <c r="E41" s="177"/>
      <c r="F41" s="178"/>
      <c r="G41" s="189" t="str">
        <f>IF(ISNUMBER(J$42)=TRUE,IF(J$42&lt;10,"SAS-4039","SAS-4031"),"－－－－")</f>
        <v>SAS-4031</v>
      </c>
      <c r="H41" s="95"/>
      <c r="I41" s="95"/>
      <c r="J41" s="95"/>
      <c r="K41" s="95"/>
      <c r="L41" s="95"/>
      <c r="M41" s="95"/>
      <c r="N41" s="190"/>
      <c r="O41" s="185" t="s">
        <v>55</v>
      </c>
      <c r="P41" s="177"/>
      <c r="Q41" s="177"/>
      <c r="R41" s="95" t="str">
        <f>IF(ISNUMBER(R$42)=TRUE,IF(R$42&lt;10,"SAS-4039","SAS-4031"),"－－－－")</f>
        <v>SAS-4031</v>
      </c>
      <c r="S41" s="95"/>
      <c r="T41" s="95"/>
      <c r="U41" s="95"/>
      <c r="V41" s="95"/>
      <c r="W41" s="37"/>
      <c r="X41" s="44"/>
      <c r="Y41" s="10"/>
      <c r="Z41" s="16">
        <v>24.5</v>
      </c>
      <c r="AA41" s="15">
        <v>1.0039</v>
      </c>
      <c r="AG41" s="10"/>
      <c r="AH41" s="12"/>
    </row>
    <row r="42" spans="1:35" ht="13.5" customHeight="1">
      <c r="A42" s="276"/>
      <c r="B42" s="277"/>
      <c r="C42" s="37"/>
      <c r="D42" s="108" t="s">
        <v>56</v>
      </c>
      <c r="E42" s="108"/>
      <c r="F42" s="119"/>
      <c r="G42" s="191" t="s">
        <v>63</v>
      </c>
      <c r="H42" s="108"/>
      <c r="I42" s="108"/>
      <c r="J42" s="192">
        <v>200</v>
      </c>
      <c r="K42" s="192"/>
      <c r="L42" s="192"/>
      <c r="M42" s="108" t="s">
        <v>65</v>
      </c>
      <c r="N42" s="119"/>
      <c r="O42" s="201" t="s">
        <v>68</v>
      </c>
      <c r="P42" s="108"/>
      <c r="Q42" s="108"/>
      <c r="R42" s="282">
        <v>20</v>
      </c>
      <c r="S42" s="282"/>
      <c r="T42" s="282"/>
      <c r="U42" s="108" t="s">
        <v>65</v>
      </c>
      <c r="V42" s="108"/>
      <c r="W42" s="37"/>
      <c r="X42" s="44"/>
      <c r="Y42" s="10"/>
      <c r="Z42" s="16">
        <v>25</v>
      </c>
      <c r="AA42" s="15">
        <v>1.004</v>
      </c>
      <c r="AG42" s="10"/>
      <c r="AH42" s="12"/>
    </row>
    <row r="43" spans="1:35" ht="13.5" customHeight="1">
      <c r="A43" s="276"/>
      <c r="B43" s="277"/>
      <c r="C43" s="37"/>
      <c r="D43" s="140" t="s">
        <v>57</v>
      </c>
      <c r="E43" s="140"/>
      <c r="F43" s="141"/>
      <c r="G43" s="184" t="s">
        <v>64</v>
      </c>
      <c r="H43" s="100"/>
      <c r="I43" s="100"/>
      <c r="J43" s="100" t="s">
        <v>66</v>
      </c>
      <c r="K43" s="100"/>
      <c r="L43" s="100"/>
      <c r="M43" s="100"/>
      <c r="N43" s="102"/>
      <c r="O43" s="283" t="s">
        <v>64</v>
      </c>
      <c r="P43" s="100"/>
      <c r="Q43" s="100"/>
      <c r="R43" s="100" t="s">
        <v>66</v>
      </c>
      <c r="S43" s="100"/>
      <c r="T43" s="100"/>
      <c r="U43" s="100"/>
      <c r="V43" s="100"/>
      <c r="W43" s="37"/>
      <c r="X43" s="44"/>
      <c r="Y43" s="10"/>
      <c r="Z43" s="16">
        <v>25.5</v>
      </c>
      <c r="AA43" s="15">
        <v>1.0041</v>
      </c>
      <c r="AG43" s="10"/>
      <c r="AH43" s="12"/>
    </row>
    <row r="44" spans="1:35" ht="13.5" customHeight="1">
      <c r="A44" s="276"/>
      <c r="B44" s="277"/>
      <c r="C44" s="37"/>
      <c r="D44" s="140">
        <v>1</v>
      </c>
      <c r="E44" s="140"/>
      <c r="F44" s="141"/>
      <c r="G44" s="111"/>
      <c r="H44" s="112"/>
      <c r="I44" s="112"/>
      <c r="J44" s="113" t="str">
        <f>IFERROR(IF($G44&lt;&gt;"",$G44*$R$40,"－"),"－")</f>
        <v>－</v>
      </c>
      <c r="K44" s="113"/>
      <c r="L44" s="113"/>
      <c r="M44" s="100" t="s">
        <v>65</v>
      </c>
      <c r="N44" s="102"/>
      <c r="O44" s="111"/>
      <c r="P44" s="112"/>
      <c r="Q44" s="112"/>
      <c r="R44" s="113" t="str">
        <f>IFERROR(IF($O44&lt;&gt;"",$O44*$R$40,"－"),"－")</f>
        <v>－</v>
      </c>
      <c r="S44" s="113"/>
      <c r="T44" s="113"/>
      <c r="U44" s="100" t="s">
        <v>65</v>
      </c>
      <c r="V44" s="100"/>
      <c r="W44" s="37"/>
      <c r="X44" s="44"/>
      <c r="Y44" s="10"/>
      <c r="Z44" s="16">
        <v>26</v>
      </c>
      <c r="AA44" s="15">
        <v>1.0043</v>
      </c>
      <c r="AG44" s="10"/>
      <c r="AH44" s="12"/>
    </row>
    <row r="45" spans="1:35" ht="13.5" customHeight="1">
      <c r="A45" s="276"/>
      <c r="B45" s="277"/>
      <c r="C45" s="37"/>
      <c r="D45" s="140">
        <v>2</v>
      </c>
      <c r="E45" s="140"/>
      <c r="F45" s="141"/>
      <c r="G45" s="111"/>
      <c r="H45" s="112"/>
      <c r="I45" s="112"/>
      <c r="J45" s="113" t="str">
        <f t="shared" ref="J45:J48" si="0">IFERROR(IF($G45&lt;&gt;"",$G45*$R$40,"－"),"－")</f>
        <v>－</v>
      </c>
      <c r="K45" s="113"/>
      <c r="L45" s="113"/>
      <c r="M45" s="100" t="s">
        <v>65</v>
      </c>
      <c r="N45" s="102"/>
      <c r="O45" s="111"/>
      <c r="P45" s="112"/>
      <c r="Q45" s="112"/>
      <c r="R45" s="113" t="str">
        <f>IFERROR(IF($O45&lt;&gt;"",$O45*$R$40,"－"),"－")</f>
        <v>－</v>
      </c>
      <c r="S45" s="113"/>
      <c r="T45" s="113"/>
      <c r="U45" s="100" t="s">
        <v>65</v>
      </c>
      <c r="V45" s="100"/>
      <c r="W45" s="37"/>
      <c r="X45" s="44"/>
      <c r="Y45" s="10"/>
      <c r="Z45" s="16">
        <v>26.5</v>
      </c>
      <c r="AA45" s="15">
        <v>1.0044</v>
      </c>
      <c r="AG45" s="10"/>
      <c r="AH45" s="12"/>
    </row>
    <row r="46" spans="1:35" ht="13.5" customHeight="1">
      <c r="A46" s="276"/>
      <c r="B46" s="277"/>
      <c r="C46" s="37"/>
      <c r="D46" s="140">
        <v>3</v>
      </c>
      <c r="E46" s="140"/>
      <c r="F46" s="141"/>
      <c r="G46" s="111"/>
      <c r="H46" s="112"/>
      <c r="I46" s="112"/>
      <c r="J46" s="113" t="str">
        <f t="shared" si="0"/>
        <v>－</v>
      </c>
      <c r="K46" s="113"/>
      <c r="L46" s="113"/>
      <c r="M46" s="100" t="s">
        <v>65</v>
      </c>
      <c r="N46" s="102"/>
      <c r="O46" s="111"/>
      <c r="P46" s="112"/>
      <c r="Q46" s="112"/>
      <c r="R46" s="113" t="str">
        <f t="shared" ref="R46:R48" si="1">IFERROR(IF($O46&lt;&gt;"",$O46*$R$40,"－"),"－")</f>
        <v>－</v>
      </c>
      <c r="S46" s="113"/>
      <c r="T46" s="113"/>
      <c r="U46" s="100" t="s">
        <v>65</v>
      </c>
      <c r="V46" s="100"/>
      <c r="W46" s="37"/>
      <c r="X46" s="44"/>
      <c r="Y46" s="10"/>
      <c r="Z46" s="16">
        <v>27</v>
      </c>
      <c r="AA46" s="15">
        <v>1.0044999999999999</v>
      </c>
      <c r="AG46" s="10"/>
      <c r="AH46" s="12"/>
    </row>
    <row r="47" spans="1:35" ht="13.5" customHeight="1">
      <c r="A47" s="276"/>
      <c r="B47" s="277"/>
      <c r="C47" s="37"/>
      <c r="D47" s="140">
        <v>4</v>
      </c>
      <c r="E47" s="140"/>
      <c r="F47" s="141"/>
      <c r="G47" s="111"/>
      <c r="H47" s="112"/>
      <c r="I47" s="112"/>
      <c r="J47" s="113" t="str">
        <f t="shared" si="0"/>
        <v>－</v>
      </c>
      <c r="K47" s="113"/>
      <c r="L47" s="113"/>
      <c r="M47" s="100" t="s">
        <v>65</v>
      </c>
      <c r="N47" s="102"/>
      <c r="O47" s="111"/>
      <c r="P47" s="112"/>
      <c r="Q47" s="112"/>
      <c r="R47" s="113" t="str">
        <f t="shared" si="1"/>
        <v>－</v>
      </c>
      <c r="S47" s="113"/>
      <c r="T47" s="113"/>
      <c r="U47" s="100" t="s">
        <v>65</v>
      </c>
      <c r="V47" s="100"/>
      <c r="W47" s="37"/>
      <c r="X47" s="44"/>
      <c r="Y47" s="10"/>
      <c r="Z47" s="16">
        <v>27.5</v>
      </c>
      <c r="AA47" s="15">
        <v>1.0046999999999999</v>
      </c>
      <c r="AG47" s="12"/>
    </row>
    <row r="48" spans="1:35" ht="13.5" customHeight="1" thickBot="1">
      <c r="A48" s="276"/>
      <c r="B48" s="277"/>
      <c r="C48" s="66" t="s">
        <v>127</v>
      </c>
      <c r="D48" s="142">
        <v>5</v>
      </c>
      <c r="E48" s="142"/>
      <c r="F48" s="143"/>
      <c r="G48" s="284"/>
      <c r="H48" s="104"/>
      <c r="I48" s="104"/>
      <c r="J48" s="114" t="str">
        <f t="shared" si="0"/>
        <v>－</v>
      </c>
      <c r="K48" s="115"/>
      <c r="L48" s="116"/>
      <c r="M48" s="106" t="s">
        <v>65</v>
      </c>
      <c r="N48" s="117"/>
      <c r="O48" s="103"/>
      <c r="P48" s="104"/>
      <c r="Q48" s="104"/>
      <c r="R48" s="105" t="str">
        <f t="shared" si="1"/>
        <v>－</v>
      </c>
      <c r="S48" s="105"/>
      <c r="T48" s="105"/>
      <c r="U48" s="106" t="s">
        <v>65</v>
      </c>
      <c r="V48" s="106"/>
      <c r="W48" s="37"/>
      <c r="X48" s="44"/>
      <c r="Y48" s="10"/>
      <c r="Z48" s="16">
        <v>28</v>
      </c>
      <c r="AA48" s="15">
        <v>1.0047999999999999</v>
      </c>
      <c r="AF48" s="10"/>
      <c r="AG48" s="10"/>
      <c r="AH48" s="12"/>
    </row>
    <row r="49" spans="1:34" ht="13.5" customHeight="1">
      <c r="A49" s="276"/>
      <c r="B49" s="277"/>
      <c r="C49" s="66" t="s">
        <v>75</v>
      </c>
      <c r="D49" s="144" t="s">
        <v>58</v>
      </c>
      <c r="E49" s="144"/>
      <c r="F49" s="145"/>
      <c r="G49" s="118" t="s">
        <v>69</v>
      </c>
      <c r="H49" s="108"/>
      <c r="I49" s="108"/>
      <c r="J49" s="109" t="str">
        <f>IFERROR(AVERAGE(J$44:L$48),"－")</f>
        <v>－</v>
      </c>
      <c r="K49" s="109"/>
      <c r="L49" s="109"/>
      <c r="M49" s="110" t="s">
        <v>73</v>
      </c>
      <c r="N49" s="119"/>
      <c r="O49" s="107" t="s">
        <v>74</v>
      </c>
      <c r="P49" s="108"/>
      <c r="Q49" s="108"/>
      <c r="R49" s="109" t="str">
        <f>IFERROR(AVERAGE(R$44:T$48),"－")</f>
        <v>－</v>
      </c>
      <c r="S49" s="109"/>
      <c r="T49" s="109"/>
      <c r="U49" s="110" t="s">
        <v>95</v>
      </c>
      <c r="V49" s="108"/>
      <c r="W49" s="37"/>
      <c r="X49" s="44"/>
      <c r="Y49" s="10"/>
      <c r="Z49" s="16">
        <v>28.5</v>
      </c>
      <c r="AA49" s="15">
        <v>1.0049999999999999</v>
      </c>
      <c r="AG49" s="10"/>
      <c r="AH49" s="12"/>
    </row>
    <row r="50" spans="1:34" ht="13.5" customHeight="1">
      <c r="A50" s="276"/>
      <c r="B50" s="277"/>
      <c r="C50" s="66" t="s">
        <v>130</v>
      </c>
      <c r="D50" s="140" t="s">
        <v>59</v>
      </c>
      <c r="E50" s="140"/>
      <c r="F50" s="141"/>
      <c r="G50" s="159" t="s">
        <v>70</v>
      </c>
      <c r="H50" s="100"/>
      <c r="I50" s="100"/>
      <c r="J50" s="160" t="str">
        <f>IFERROR(ROUND((J$49-J$42)/J$42*100,1),"－")</f>
        <v>－</v>
      </c>
      <c r="K50" s="160"/>
      <c r="L50" s="160"/>
      <c r="M50" s="100" t="s">
        <v>75</v>
      </c>
      <c r="N50" s="102"/>
      <c r="O50" s="99" t="s">
        <v>71</v>
      </c>
      <c r="P50" s="100"/>
      <c r="Q50" s="100"/>
      <c r="R50" s="101" t="str">
        <f>IFERROR(ROUND((R$49-R$42)/R$42*100,1),"－")</f>
        <v>－</v>
      </c>
      <c r="S50" s="101"/>
      <c r="T50" s="101"/>
      <c r="U50" s="100" t="s">
        <v>76</v>
      </c>
      <c r="V50" s="102"/>
      <c r="W50" s="46" t="s">
        <v>103</v>
      </c>
      <c r="X50" s="44"/>
      <c r="Y50" s="10"/>
      <c r="Z50" s="16">
        <v>29</v>
      </c>
      <c r="AA50" s="15">
        <v>1.0051000000000001</v>
      </c>
      <c r="AG50" s="10"/>
      <c r="AH50" s="12"/>
    </row>
    <row r="51" spans="1:34" ht="13.5" customHeight="1">
      <c r="A51" s="276"/>
      <c r="B51" s="277"/>
      <c r="C51" s="66" t="s">
        <v>76</v>
      </c>
      <c r="D51" s="140" t="s">
        <v>60</v>
      </c>
      <c r="E51" s="140"/>
      <c r="F51" s="141"/>
      <c r="G51" s="159" t="s">
        <v>69</v>
      </c>
      <c r="H51" s="100"/>
      <c r="I51" s="100"/>
      <c r="J51" s="101" t="str">
        <f>IFERROR(ROUND(STDEV(J$44:L$48)/J$49*100,1),"－")</f>
        <v>－</v>
      </c>
      <c r="K51" s="101"/>
      <c r="L51" s="101"/>
      <c r="M51" s="100" t="s">
        <v>126</v>
      </c>
      <c r="N51" s="102"/>
      <c r="O51" s="99" t="s">
        <v>72</v>
      </c>
      <c r="P51" s="100"/>
      <c r="Q51" s="100"/>
      <c r="R51" s="101" t="str">
        <f>IFERROR(ROUND(STDEV(R$44:T$48)/R$49*100,1),"－")</f>
        <v>－</v>
      </c>
      <c r="S51" s="101"/>
      <c r="T51" s="101"/>
      <c r="U51" s="100" t="s">
        <v>131</v>
      </c>
      <c r="V51" s="100"/>
      <c r="W51" s="46" t="s">
        <v>103</v>
      </c>
      <c r="X51" s="44"/>
      <c r="Y51" s="10"/>
      <c r="Z51" s="16">
        <v>29.5</v>
      </c>
      <c r="AA51" s="15">
        <v>1.0052000000000001</v>
      </c>
      <c r="AD51" s="10"/>
      <c r="AE51" s="12"/>
    </row>
    <row r="52" spans="1:34" ht="13.5" customHeight="1">
      <c r="A52" s="276"/>
      <c r="B52" s="277"/>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276"/>
      <c r="B53" s="277"/>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278"/>
      <c r="B54" s="279"/>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268" t="s">
        <v>1</v>
      </c>
      <c r="B55" s="269"/>
      <c r="C55" s="269"/>
      <c r="D55" s="269"/>
      <c r="E55" s="269"/>
      <c r="F55" s="269"/>
      <c r="G55" s="269"/>
      <c r="H55" s="269"/>
      <c r="I55" s="269"/>
      <c r="J55" s="269"/>
      <c r="K55" s="269"/>
      <c r="L55" s="269"/>
      <c r="M55" s="269"/>
      <c r="N55" s="269"/>
      <c r="O55" s="269"/>
      <c r="P55" s="269"/>
      <c r="Q55" s="269"/>
      <c r="R55" s="269"/>
      <c r="S55" s="269"/>
      <c r="T55" s="269"/>
      <c r="U55" s="269"/>
      <c r="V55" s="269"/>
      <c r="W55" s="269"/>
      <c r="X55" s="270"/>
      <c r="Y55" s="10"/>
      <c r="Z55" s="12"/>
    </row>
    <row r="56" spans="1:34">
      <c r="A56" s="262"/>
      <c r="B56" s="263"/>
      <c r="C56" s="263"/>
      <c r="D56" s="263"/>
      <c r="E56" s="263"/>
      <c r="F56" s="263"/>
      <c r="G56" s="263"/>
      <c r="H56" s="263"/>
      <c r="I56" s="263"/>
      <c r="J56" s="263"/>
      <c r="K56" s="263"/>
      <c r="L56" s="263"/>
      <c r="M56" s="263"/>
      <c r="N56" s="263"/>
      <c r="O56" s="263"/>
      <c r="P56" s="263"/>
      <c r="Q56" s="263"/>
      <c r="R56" s="263"/>
      <c r="S56" s="263"/>
      <c r="T56" s="263"/>
      <c r="U56" s="263"/>
      <c r="V56" s="263"/>
      <c r="W56" s="263"/>
      <c r="X56" s="264"/>
      <c r="Y56" s="10"/>
      <c r="Z56" s="12" t="str">
        <f>IFERROR(IF(OR($M$50=$C$49,$M$51=$C$49,$U$50=$C$49,$U$51=$C$49),$C$49,IF(OR($M$50=$C$50,$M$51=$C$50,$U$50=$C$50,$U$51=$C$50),$C$50,$C$51)),"")</f>
        <v>不適</v>
      </c>
    </row>
    <row r="57" spans="1:34">
      <c r="A57" s="262"/>
      <c r="B57" s="263"/>
      <c r="C57" s="263"/>
      <c r="D57" s="263"/>
      <c r="E57" s="263"/>
      <c r="F57" s="263"/>
      <c r="G57" s="263"/>
      <c r="H57" s="263"/>
      <c r="I57" s="263"/>
      <c r="J57" s="263"/>
      <c r="K57" s="263"/>
      <c r="L57" s="263"/>
      <c r="M57" s="263"/>
      <c r="N57" s="263"/>
      <c r="O57" s="263"/>
      <c r="P57" s="263"/>
      <c r="Q57" s="263"/>
      <c r="R57" s="263"/>
      <c r="S57" s="263"/>
      <c r="T57" s="263"/>
      <c r="U57" s="263"/>
      <c r="V57" s="263"/>
      <c r="W57" s="263"/>
      <c r="X57" s="264"/>
      <c r="Y57" s="10"/>
      <c r="Z57" s="12"/>
    </row>
    <row r="58" spans="1:34" ht="15" thickBot="1">
      <c r="A58" s="265"/>
      <c r="B58" s="266"/>
      <c r="C58" s="266"/>
      <c r="D58" s="266"/>
      <c r="E58" s="266"/>
      <c r="F58" s="266"/>
      <c r="G58" s="266"/>
      <c r="H58" s="266"/>
      <c r="I58" s="266"/>
      <c r="J58" s="266"/>
      <c r="K58" s="266"/>
      <c r="L58" s="266"/>
      <c r="M58" s="266"/>
      <c r="N58" s="266"/>
      <c r="O58" s="266"/>
      <c r="P58" s="266"/>
      <c r="Q58" s="266"/>
      <c r="R58" s="266"/>
      <c r="S58" s="266"/>
      <c r="T58" s="266"/>
      <c r="U58" s="266"/>
      <c r="V58" s="266"/>
      <c r="W58" s="266"/>
      <c r="X58" s="267"/>
    </row>
    <row r="59" spans="1:34">
      <c r="A59" s="125" t="s">
        <v>0</v>
      </c>
      <c r="B59" s="126"/>
      <c r="C59" s="126"/>
      <c r="D59" s="126"/>
      <c r="E59" s="150" t="s">
        <v>9</v>
      </c>
      <c r="F59" s="150"/>
      <c r="G59" s="150"/>
      <c r="H59" s="150"/>
      <c r="I59" s="150"/>
      <c r="J59" s="150"/>
      <c r="K59" s="150"/>
      <c r="L59" s="150"/>
      <c r="M59" s="150"/>
      <c r="N59" s="150"/>
      <c r="O59" s="150"/>
      <c r="P59" s="150"/>
      <c r="Q59" s="150"/>
      <c r="R59" s="150"/>
      <c r="S59" s="150"/>
      <c r="T59" s="150"/>
      <c r="U59" s="150"/>
      <c r="V59" s="150"/>
      <c r="W59" s="150"/>
      <c r="X59" s="151"/>
    </row>
    <row r="60" spans="1:34" ht="16.5" customHeight="1">
      <c r="A60" s="146"/>
      <c r="B60" s="147"/>
      <c r="C60" s="147"/>
      <c r="D60" s="147"/>
      <c r="E60" s="152" t="s">
        <v>5</v>
      </c>
      <c r="F60" s="152"/>
      <c r="G60" s="152"/>
      <c r="H60" s="152"/>
      <c r="I60" s="152"/>
      <c r="J60" s="152"/>
      <c r="K60" s="152"/>
      <c r="L60" s="152"/>
      <c r="M60" s="152"/>
      <c r="N60" s="152"/>
      <c r="O60" s="152"/>
      <c r="P60" s="152"/>
      <c r="Q60" s="152"/>
      <c r="R60" s="152"/>
      <c r="S60" s="152"/>
      <c r="T60" s="152"/>
      <c r="U60" s="152"/>
      <c r="V60" s="152"/>
      <c r="W60" s="152"/>
      <c r="X60" s="153"/>
    </row>
    <row r="61" spans="1:34" ht="16.5" customHeight="1">
      <c r="A61" s="148"/>
      <c r="B61" s="149"/>
      <c r="C61" s="149"/>
      <c r="D61" s="149"/>
      <c r="E61" s="152" t="s">
        <v>6</v>
      </c>
      <c r="F61" s="152"/>
      <c r="G61" s="152"/>
      <c r="H61" s="152"/>
      <c r="I61" s="152"/>
      <c r="J61" s="152"/>
      <c r="K61" s="152"/>
      <c r="L61" s="152"/>
      <c r="M61" s="152"/>
      <c r="N61" s="152"/>
      <c r="O61" s="152"/>
      <c r="P61" s="152"/>
      <c r="Q61" s="152"/>
      <c r="R61" s="152"/>
      <c r="S61" s="152"/>
      <c r="T61" s="152"/>
      <c r="U61" s="152"/>
      <c r="V61" s="152"/>
      <c r="W61" s="152"/>
      <c r="X61" s="153"/>
    </row>
    <row r="62" spans="1:34" ht="16.5" customHeight="1">
      <c r="A62" s="148"/>
      <c r="B62" s="149"/>
      <c r="C62" s="149"/>
      <c r="D62" s="149"/>
      <c r="E62" s="154" t="s">
        <v>8</v>
      </c>
      <c r="F62" s="152"/>
      <c r="G62" s="152"/>
      <c r="H62" s="152"/>
      <c r="I62" s="152"/>
      <c r="J62" s="152"/>
      <c r="K62" s="152"/>
      <c r="L62" s="152"/>
      <c r="M62" s="152"/>
      <c r="N62" s="152"/>
      <c r="O62" s="152"/>
      <c r="P62" s="152"/>
      <c r="Q62" s="152"/>
      <c r="R62" s="152"/>
      <c r="S62" s="152"/>
      <c r="T62" s="152"/>
      <c r="U62" s="152"/>
      <c r="V62" s="152"/>
      <c r="W62" s="152"/>
      <c r="X62" s="153"/>
    </row>
    <row r="63" spans="1:34" ht="16.5" customHeight="1" thickBot="1">
      <c r="A63" s="127"/>
      <c r="B63" s="128"/>
      <c r="C63" s="128"/>
      <c r="D63" s="128"/>
      <c r="E63" s="123" t="s">
        <v>7</v>
      </c>
      <c r="F63" s="123"/>
      <c r="G63" s="123"/>
      <c r="H63" s="123"/>
      <c r="I63" s="123"/>
      <c r="J63" s="123"/>
      <c r="K63" s="123"/>
      <c r="L63" s="123"/>
      <c r="M63" s="123"/>
      <c r="N63" s="123"/>
      <c r="O63" s="123"/>
      <c r="P63" s="123"/>
      <c r="Q63" s="123"/>
      <c r="R63" s="123"/>
      <c r="S63" s="123"/>
      <c r="T63" s="123"/>
      <c r="U63" s="123"/>
      <c r="V63" s="123"/>
      <c r="W63" s="123"/>
      <c r="X63" s="124"/>
    </row>
    <row r="64" spans="1:34" ht="30" customHeight="1">
      <c r="A64" s="125" t="s">
        <v>61</v>
      </c>
      <c r="B64" s="126"/>
      <c r="C64" s="126"/>
      <c r="D64" s="126"/>
      <c r="E64" s="129" t="str">
        <f>IFERROR(IF(OR($M$50=$C$48,$M$51=$C$48,$U$50=$C$48,$U$51=$C$48),$C$48,IF(OR($M$50=$C$49,$M$51=$C$49,$U$50=$C$49,$U$51=$C$49),$C$49,IF(OR($M$50=$C$50,$M$51=$C$50,$U$50=$C$50,$U$51=$C$50),$C$50,IF(OR(AND($M$50=$C$51,$M$51=$C$51),AND($U$50=$C$51,$U$51=$C$51)),$C$51,"")))),"")</f>
        <v>不適</v>
      </c>
      <c r="F64" s="130"/>
      <c r="G64" s="133" t="s">
        <v>2</v>
      </c>
      <c r="H64" s="134"/>
      <c r="I64" s="137" t="s">
        <v>125</v>
      </c>
      <c r="J64" s="138"/>
      <c r="K64" s="138"/>
      <c r="L64" s="138"/>
      <c r="M64" s="138"/>
      <c r="N64" s="138"/>
      <c r="O64" s="138"/>
      <c r="P64" s="138"/>
      <c r="Q64" s="138"/>
      <c r="R64" s="138"/>
      <c r="S64" s="138"/>
      <c r="T64" s="138"/>
      <c r="U64" s="138"/>
      <c r="V64" s="138"/>
      <c r="W64" s="138"/>
      <c r="X64" s="139"/>
    </row>
    <row r="65" spans="1:29" ht="30" customHeight="1" thickBot="1">
      <c r="A65" s="127"/>
      <c r="B65" s="128"/>
      <c r="C65" s="128"/>
      <c r="D65" s="128"/>
      <c r="E65" s="131"/>
      <c r="F65" s="132"/>
      <c r="G65" s="135"/>
      <c r="H65" s="136"/>
      <c r="I65" s="155">
        <v>42699</v>
      </c>
      <c r="J65" s="156"/>
      <c r="K65" s="156"/>
      <c r="L65" s="156"/>
      <c r="M65" s="156"/>
      <c r="N65" s="156"/>
      <c r="O65" s="156"/>
      <c r="P65" s="157" t="s">
        <v>102</v>
      </c>
      <c r="Q65" s="157"/>
      <c r="R65" s="157"/>
      <c r="S65" s="157" t="s">
        <v>221</v>
      </c>
      <c r="T65" s="157"/>
      <c r="U65" s="157"/>
      <c r="V65" s="157"/>
      <c r="W65" s="157"/>
      <c r="X65" s="158"/>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120" t="s">
        <v>3</v>
      </c>
      <c r="B67" s="121"/>
      <c r="C67" s="121"/>
      <c r="D67" s="161"/>
      <c r="E67" s="162" t="s">
        <v>132</v>
      </c>
      <c r="F67" s="121"/>
      <c r="G67" s="121"/>
      <c r="H67" s="121"/>
      <c r="I67" s="121"/>
      <c r="J67" s="121"/>
      <c r="K67" s="121"/>
      <c r="L67" s="121"/>
      <c r="M67" s="121"/>
      <c r="N67" s="121"/>
      <c r="O67" s="122"/>
      <c r="P67" s="120" t="s">
        <v>182</v>
      </c>
      <c r="Q67" s="161"/>
      <c r="R67" s="120"/>
      <c r="S67" s="121"/>
      <c r="T67" s="121"/>
      <c r="U67" s="121"/>
      <c r="V67" s="121"/>
      <c r="W67" s="121"/>
      <c r="X67" s="122"/>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V18:X19"/>
    <mergeCell ref="AF30:AF32"/>
    <mergeCell ref="AF29:AG29"/>
    <mergeCell ref="AF28:AI28"/>
    <mergeCell ref="AF34:AF35"/>
    <mergeCell ref="AF33:AG33"/>
    <mergeCell ref="O18:R18"/>
    <mergeCell ref="E18:H18"/>
    <mergeCell ref="I18:N18"/>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J48:L48"/>
    <mergeCell ref="M48:N48"/>
    <mergeCell ref="G49:I49"/>
    <mergeCell ref="J49:L49"/>
    <mergeCell ref="M49:N49"/>
    <mergeCell ref="G45:I45"/>
    <mergeCell ref="J45:L45"/>
    <mergeCell ref="M45:N45"/>
    <mergeCell ref="G46:I46"/>
    <mergeCell ref="J46:L46"/>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88" r:id="rId4" name="NotCoveredCheckBox">
          <controlPr defaultSize="0" autoLine="0" r:id="rId5">
            <anchor moveWithCells="1">
              <from>
                <xdr:col>14</xdr:col>
                <xdr:colOff>142875</xdr:colOff>
                <xdr:row>17</xdr:row>
                <xdr:rowOff>0</xdr:rowOff>
              </from>
              <to>
                <xdr:col>18</xdr:col>
                <xdr:colOff>0</xdr:colOff>
                <xdr:row>18</xdr:row>
                <xdr:rowOff>0</xdr:rowOff>
              </to>
            </anchor>
          </controlPr>
        </control>
      </mc:Choice>
      <mc:Fallback>
        <control shapeId="2088" r:id="rId4" name="NotCoveredCheckBox"/>
      </mc:Fallback>
    </mc:AlternateContent>
    <mc:AlternateContent xmlns:mc="http://schemas.openxmlformats.org/markup-compatibility/2006">
      <mc:Choice Requires="x14">
        <control shapeId="2074" r:id="rId6" name="FailureCheckBox">
          <controlPr defaultSize="0" autoLine="0" r:id="rId7">
            <anchor moveWithCells="1">
              <from>
                <xdr:col>4</xdr:col>
                <xdr:colOff>152400</xdr:colOff>
                <xdr:row>64</xdr:row>
                <xdr:rowOff>66675</xdr:rowOff>
              </from>
              <to>
                <xdr:col>6</xdr:col>
                <xdr:colOff>0</xdr:colOff>
                <xdr:row>65</xdr:row>
                <xdr:rowOff>0</xdr:rowOff>
              </to>
            </anchor>
          </controlPr>
        </control>
      </mc:Choice>
      <mc:Fallback>
        <control shapeId="2074" r:id="rId6" name="FailureCheckBox"/>
      </mc:Fallback>
    </mc:AlternateContent>
    <mc:AlternateContent xmlns:mc="http://schemas.openxmlformats.org/markup-compatibility/2006">
      <mc:Choice Requires="x14">
        <control shapeId="2073" r:id="rId8" name="WarningCheckBox">
          <controlPr defaultSize="0" autoLine="0" r:id="rId9">
            <anchor moveWithCells="1">
              <from>
                <xdr:col>4</xdr:col>
                <xdr:colOff>133350</xdr:colOff>
                <xdr:row>63</xdr:row>
                <xdr:rowOff>209550</xdr:rowOff>
              </from>
              <to>
                <xdr:col>5</xdr:col>
                <xdr:colOff>638175</xdr:colOff>
                <xdr:row>64</xdr:row>
                <xdr:rowOff>142875</xdr:rowOff>
              </to>
            </anchor>
          </controlPr>
        </control>
      </mc:Choice>
      <mc:Fallback>
        <control shapeId="2073" r:id="rId8" name="WarningCheckBox"/>
      </mc:Fallback>
    </mc:AlternateContent>
    <mc:AlternateContent xmlns:mc="http://schemas.openxmlformats.org/markup-compatibility/2006">
      <mc:Choice Requires="x14">
        <control shapeId="2072" r:id="rId10" name="PassCheckBox">
          <controlPr defaultSize="0" autoLine="0" r:id="rId11">
            <anchor moveWithCells="1">
              <from>
                <xdr:col>4</xdr:col>
                <xdr:colOff>152400</xdr:colOff>
                <xdr:row>63</xdr:row>
                <xdr:rowOff>0</xdr:rowOff>
              </from>
              <to>
                <xdr:col>6</xdr:col>
                <xdr:colOff>0</xdr:colOff>
                <xdr:row>63</xdr:row>
                <xdr:rowOff>314325</xdr:rowOff>
              </to>
            </anchor>
          </controlPr>
        </control>
      </mc:Choice>
      <mc:Fallback>
        <control shapeId="2072" r:id="rId10" name="PassCheckBox"/>
      </mc:Fallback>
    </mc:AlternateContent>
    <mc:AlternateContent xmlns:mc="http://schemas.openxmlformats.org/markup-compatibility/2006">
      <mc:Choice Requires="x14">
        <control shapeId="2071" r:id="rId12" name="AfterNotCoveredCheckBox">
          <controlPr defaultSize="0" autoLine="0" r:id="rId13">
            <anchor moveWithCells="1">
              <from>
                <xdr:col>21</xdr:col>
                <xdr:colOff>133350</xdr:colOff>
                <xdr:row>18</xdr:row>
                <xdr:rowOff>66675</xdr:rowOff>
              </from>
              <to>
                <xdr:col>24</xdr:col>
                <xdr:colOff>0</xdr:colOff>
                <xdr:row>19</xdr:row>
                <xdr:rowOff>0</xdr:rowOff>
              </to>
            </anchor>
          </controlPr>
        </control>
      </mc:Choice>
      <mc:Fallback>
        <control shapeId="2071" r:id="rId12" name="AfterNotCoveredCheckBox"/>
      </mc:Fallback>
    </mc:AlternateContent>
    <mc:AlternateContent xmlns:mc="http://schemas.openxmlformats.org/markup-compatibility/2006">
      <mc:Choice Requires="x14">
        <control shapeId="2070" r:id="rId14" name="AfterLeakCheckBox">
          <controlPr defaultSize="0" autoLine="0" r:id="rId15">
            <anchor moveWithCells="1">
              <from>
                <xdr:col>21</xdr:col>
                <xdr:colOff>123825</xdr:colOff>
                <xdr:row>17</xdr:row>
                <xdr:rowOff>0</xdr:rowOff>
              </from>
              <to>
                <xdr:col>24</xdr:col>
                <xdr:colOff>0</xdr:colOff>
                <xdr:row>17</xdr:row>
                <xdr:rowOff>266700</xdr:rowOff>
              </to>
            </anchor>
          </controlPr>
        </control>
      </mc:Choice>
      <mc:Fallback>
        <control shapeId="2070" r:id="rId14" name="AfterLeakCheckBox"/>
      </mc:Fallback>
    </mc:AlternateContent>
    <mc:AlternateContent xmlns:mc="http://schemas.openxmlformats.org/markup-compatibility/2006">
      <mc:Choice Requires="x14">
        <control shapeId="2068" r:id="rId16" name="AfterNoLeakCheckBox">
          <controlPr defaultSize="0" autoLine="0" r:id="rId17">
            <anchor moveWithCells="1">
              <from>
                <xdr:col>21</xdr:col>
                <xdr:colOff>123825</xdr:colOff>
                <xdr:row>17</xdr:row>
                <xdr:rowOff>209550</xdr:rowOff>
              </from>
              <to>
                <xdr:col>23</xdr:col>
                <xdr:colOff>409575</xdr:colOff>
                <xdr:row>18</xdr:row>
                <xdr:rowOff>209550</xdr:rowOff>
              </to>
            </anchor>
          </controlPr>
        </control>
      </mc:Choice>
      <mc:Fallback>
        <control shapeId="2068" r:id="rId16" name="AfterNoLeakCheckBox"/>
      </mc:Fallback>
    </mc:AlternateContent>
    <mc:AlternateContent xmlns:mc="http://schemas.openxmlformats.org/markup-compatibility/2006">
      <mc:Choice Requires="x14">
        <control shapeId="2067" r:id="rId18" name="OtherCheckBox">
          <controlPr defaultSize="0" autoLine="0" r:id="rId19">
            <anchor moveWithCells="1">
              <from>
                <xdr:col>14</xdr:col>
                <xdr:colOff>228600</xdr:colOff>
                <xdr:row>18</xdr:row>
                <xdr:rowOff>0</xdr:rowOff>
              </from>
              <to>
                <xdr:col>18</xdr:col>
                <xdr:colOff>0</xdr:colOff>
                <xdr:row>19</xdr:row>
                <xdr:rowOff>0</xdr:rowOff>
              </to>
            </anchor>
          </controlPr>
        </control>
      </mc:Choice>
      <mc:Fallback>
        <control shapeId="2067" r:id="rId18" name="OtherCheckBox"/>
      </mc:Fallback>
    </mc:AlternateContent>
    <mc:AlternateContent xmlns:mc="http://schemas.openxmlformats.org/markup-compatibility/2006">
      <mc:Choice Requires="x14">
        <control shapeId="2064" r:id="rId20" name="ORingCheckBox">
          <controlPr defaultSize="0" autoLine="0" r:id="rId21">
            <anchor moveWithCells="1">
              <from>
                <xdr:col>12</xdr:col>
                <xdr:colOff>0</xdr:colOff>
                <xdr:row>18</xdr:row>
                <xdr:rowOff>0</xdr:rowOff>
              </from>
              <to>
                <xdr:col>14</xdr:col>
                <xdr:colOff>142875</xdr:colOff>
                <xdr:row>19</xdr:row>
                <xdr:rowOff>0</xdr:rowOff>
              </to>
            </anchor>
          </controlPr>
        </control>
      </mc:Choice>
      <mc:Fallback>
        <control shapeId="2064" r:id="rId20" name="ORingCheckBox"/>
      </mc:Fallback>
    </mc:AlternateContent>
    <mc:AlternateContent xmlns:mc="http://schemas.openxmlformats.org/markup-compatibility/2006">
      <mc:Choice Requires="x14">
        <control shapeId="2063" r:id="rId22" name="TeflonSealCheckBox">
          <controlPr defaultSize="0" autoLine="0" r:id="rId23">
            <anchor moveWithCells="1">
              <from>
                <xdr:col>8</xdr:col>
                <xdr:colOff>228600</xdr:colOff>
                <xdr:row>18</xdr:row>
                <xdr:rowOff>0</xdr:rowOff>
              </from>
              <to>
                <xdr:col>11</xdr:col>
                <xdr:colOff>295275</xdr:colOff>
                <xdr:row>19</xdr:row>
                <xdr:rowOff>0</xdr:rowOff>
              </to>
            </anchor>
          </controlPr>
        </control>
      </mc:Choice>
      <mc:Fallback>
        <control shapeId="2063" r:id="rId22" name="TeflonSealCheckBox"/>
      </mc:Fallback>
    </mc:AlternateContent>
    <mc:AlternateContent xmlns:mc="http://schemas.openxmlformats.org/markup-compatibility/2006">
      <mc:Choice Requires="x14">
        <control shapeId="2061" r:id="rId24" name="DisassemblyCleaningCheckBox">
          <controlPr defaultSize="0" autoLine="0" r:id="rId25">
            <anchor moveWithCells="1">
              <from>
                <xdr:col>6</xdr:col>
                <xdr:colOff>47625</xdr:colOff>
                <xdr:row>18</xdr:row>
                <xdr:rowOff>0</xdr:rowOff>
              </from>
              <to>
                <xdr:col>8</xdr:col>
                <xdr:colOff>171450</xdr:colOff>
                <xdr:row>19</xdr:row>
                <xdr:rowOff>0</xdr:rowOff>
              </to>
            </anchor>
          </controlPr>
        </control>
      </mc:Choice>
      <mc:Fallback>
        <control shapeId="2061" r:id="rId24" name="DisassemblyCleaningCheckBox"/>
      </mc:Fallback>
    </mc:AlternateContent>
    <mc:AlternateContent xmlns:mc="http://schemas.openxmlformats.org/markup-compatibility/2006">
      <mc:Choice Requires="x14">
        <control shapeId="2060" r:id="rId26" name="UnDegradationCheckBox">
          <controlPr defaultSize="0" autoLine="0" r:id="rId27">
            <anchor moveWithCells="1">
              <from>
                <xdr:col>4</xdr:col>
                <xdr:colOff>66675</xdr:colOff>
                <xdr:row>18</xdr:row>
                <xdr:rowOff>0</xdr:rowOff>
              </from>
              <to>
                <xdr:col>6</xdr:col>
                <xdr:colOff>0</xdr:colOff>
                <xdr:row>19</xdr:row>
                <xdr:rowOff>0</xdr:rowOff>
              </to>
            </anchor>
          </controlPr>
        </control>
      </mc:Choice>
      <mc:Fallback>
        <control shapeId="2060" r:id="rId26" name="UnDegradationCheckBox"/>
      </mc:Fallback>
    </mc:AlternateContent>
    <mc:AlternateContent xmlns:mc="http://schemas.openxmlformats.org/markup-compatibility/2006">
      <mc:Choice Requires="x14">
        <control shapeId="2059" r:id="rId28" name="LeakCheckBox">
          <controlPr defaultSize="0" autoLine="0" r:id="rId29">
            <anchor moveWithCells="1">
              <from>
                <xdr:col>21</xdr:col>
                <xdr:colOff>57150</xdr:colOff>
                <xdr:row>16</xdr:row>
                <xdr:rowOff>0</xdr:rowOff>
              </from>
              <to>
                <xdr:col>23</xdr:col>
                <xdr:colOff>133350</xdr:colOff>
                <xdr:row>17</xdr:row>
                <xdr:rowOff>0</xdr:rowOff>
              </to>
            </anchor>
          </controlPr>
        </control>
      </mc:Choice>
      <mc:Fallback>
        <control shapeId="2059" r:id="rId28" name="LeakCheckBox"/>
      </mc:Fallback>
    </mc:AlternateContent>
    <mc:AlternateContent xmlns:mc="http://schemas.openxmlformats.org/markup-compatibility/2006">
      <mc:Choice Requires="x14">
        <control shapeId="2058" r:id="rId30" name="NoLeakCheckBox">
          <controlPr defaultSize="0" autoLine="0" r:id="rId31">
            <anchor moveWithCells="1">
              <from>
                <xdr:col>17</xdr:col>
                <xdr:colOff>85725</xdr:colOff>
                <xdr:row>16</xdr:row>
                <xdr:rowOff>0</xdr:rowOff>
              </from>
              <to>
                <xdr:col>21</xdr:col>
                <xdr:colOff>66675</xdr:colOff>
                <xdr:row>17</xdr:row>
                <xdr:rowOff>0</xdr:rowOff>
              </to>
            </anchor>
          </controlPr>
        </control>
      </mc:Choice>
      <mc:Fallback>
        <control shapeId="2058" r:id="rId30" name="NoLeakCheckBox"/>
      </mc:Fallback>
    </mc:AlternateContent>
    <mc:AlternateContent xmlns:mc="http://schemas.openxmlformats.org/markup-compatibility/2006">
      <mc:Choice Requires="x14">
        <control shapeId="2057" r:id="rId32" name="AbnormalityCheckBox">
          <controlPr defaultSize="0" autoLine="0" r:id="rId33">
            <anchor moveWithCells="1">
              <from>
                <xdr:col>9</xdr:col>
                <xdr:colOff>57150</xdr:colOff>
                <xdr:row>16</xdr:row>
                <xdr:rowOff>0</xdr:rowOff>
              </from>
              <to>
                <xdr:col>11</xdr:col>
                <xdr:colOff>0</xdr:colOff>
                <xdr:row>17</xdr:row>
                <xdr:rowOff>0</xdr:rowOff>
              </to>
            </anchor>
          </controlPr>
        </control>
      </mc:Choice>
      <mc:Fallback>
        <control shapeId="2057" r:id="rId32" name="AbnormalityCheckBox"/>
      </mc:Fallback>
    </mc:AlternateContent>
    <mc:AlternateContent xmlns:mc="http://schemas.openxmlformats.org/markup-compatibility/2006">
      <mc:Choice Requires="x14">
        <control shapeId="2055" r:id="rId34" name="NoAbnormalityCheckBox">
          <controlPr defaultSize="0" autoLine="0" r:id="rId35">
            <anchor moveWithCells="1">
              <from>
                <xdr:col>5</xdr:col>
                <xdr:colOff>381000</xdr:colOff>
                <xdr:row>16</xdr:row>
                <xdr:rowOff>0</xdr:rowOff>
              </from>
              <to>
                <xdr:col>8</xdr:col>
                <xdr:colOff>0</xdr:colOff>
                <xdr:row>17</xdr:row>
                <xdr:rowOff>0</xdr:rowOff>
              </to>
            </anchor>
          </controlPr>
        </control>
      </mc:Choice>
      <mc:Fallback>
        <control shapeId="2055" r:id="rId34" name="NoAbnormality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2016-11-25T09:42:15Z</cp:lastPrinted>
  <dcterms:created xsi:type="dcterms:W3CDTF">1997-06-19T07:40:59Z</dcterms:created>
  <dcterms:modified xsi:type="dcterms:W3CDTF">2016-11-25T09:58:19Z</dcterms:modified>
</cp:coreProperties>
</file>
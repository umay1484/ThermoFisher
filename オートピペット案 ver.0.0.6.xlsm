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5" yWindow="60" windowWidth="20730" windowHeight="5445" tabRatio="928" firstSheet="2" activeTab="2"/>
  </bookViews>
  <sheets>
    <sheet name="data" sheetId="32" state="hidden" r:id="rId1"/>
    <sheet name="ラベルリスト" sheetId="34" state="hidden" r:id="rId2"/>
    <sheet name="検定記録書" sheetId="33" r:id="rId3"/>
  </sheets>
  <functionGroups builtInGroupCount="17"/>
  <definedNames>
    <definedName name="_xlnm.Print_Area" localSheetId="2">検定記録書!$A$1:$X$67</definedName>
  </definedNames>
  <calcPr calcId="145621"/>
</workbook>
</file>

<file path=xl/calcChain.xml><?xml version="1.0" encoding="utf-8"?>
<calcChain xmlns="http://schemas.openxmlformats.org/spreadsheetml/2006/main">
  <c r="E64" i="33" l="1"/>
  <c r="Z56" i="33" l="1"/>
  <c r="R41" i="33" l="1"/>
  <c r="G41" i="33"/>
  <c r="R40" i="33" l="1"/>
  <c r="J44" i="33" l="1"/>
  <c r="R48" i="33"/>
  <c r="R45" i="33"/>
  <c r="R44" i="33"/>
  <c r="R47" i="33"/>
  <c r="R46" i="33"/>
  <c r="J48" i="33"/>
  <c r="J47" i="33"/>
  <c r="J46" i="33"/>
  <c r="J45" i="33"/>
  <c r="R49" i="33" l="1"/>
  <c r="R50" i="33" s="1"/>
  <c r="J49" i="33"/>
  <c r="J50" i="33" s="1"/>
  <c r="R51" i="33" l="1"/>
  <c r="J51" i="33"/>
</calcChain>
</file>

<file path=xl/sharedStrings.xml><?xml version="1.0" encoding="utf-8"?>
<sst xmlns="http://schemas.openxmlformats.org/spreadsheetml/2006/main" count="254" uniqueCount="220">
  <si>
    <t>判定基準</t>
    <rPh sb="0" eb="2">
      <t>ハンテイ</t>
    </rPh>
    <rPh sb="2" eb="4">
      <t>キジュン</t>
    </rPh>
    <phoneticPr fontId="1"/>
  </si>
  <si>
    <t>備考</t>
    <rPh sb="0" eb="2">
      <t>ビコウ</t>
    </rPh>
    <phoneticPr fontId="1"/>
  </si>
  <si>
    <t>判定
年月日</t>
    <rPh sb="0" eb="2">
      <t>ハンテイ</t>
    </rPh>
    <phoneticPr fontId="1"/>
  </si>
  <si>
    <t>　点　検
　担当者</t>
    <rPh sb="1" eb="2">
      <t>テン</t>
    </rPh>
    <rPh sb="3" eb="4">
      <t>ケン</t>
    </rPh>
    <rPh sb="6" eb="9">
      <t>タントウシャ</t>
    </rPh>
    <phoneticPr fontId="1"/>
  </si>
  <si>
    <t>オートピペット性能試験報告書</t>
    <rPh sb="7" eb="9">
      <t>セイノウ</t>
    </rPh>
    <rPh sb="11" eb="14">
      <t>ホウコクショ</t>
    </rPh>
    <phoneticPr fontId="1"/>
  </si>
  <si>
    <t>性能試験/正確さ（設定値とのズレ% d）、繰り返し精度（変動係数% CV）：</t>
    <rPh sb="0" eb="2">
      <t>セイノウ</t>
    </rPh>
    <rPh sb="2" eb="4">
      <t>シケン</t>
    </rPh>
    <rPh sb="5" eb="7">
      <t>セイカク</t>
    </rPh>
    <rPh sb="9" eb="12">
      <t>セッテイチ</t>
    </rPh>
    <rPh sb="21" eb="22">
      <t>ク</t>
    </rPh>
    <rPh sb="23" eb="24">
      <t>カエ</t>
    </rPh>
    <rPh sb="25" eb="27">
      <t>セイド</t>
    </rPh>
    <rPh sb="28" eb="30">
      <t>ヘンドウ</t>
    </rPh>
    <rPh sb="30" eb="32">
      <t>ケイスウ</t>
    </rPh>
    <phoneticPr fontId="1"/>
  </si>
  <si>
    <t>　管理範囲　-2.0≦d≦2.0, CV≦1.0　（-5.0≦d≦5.0, CV≦2.0　（設定値が20μL以下の場合））</t>
    <rPh sb="1" eb="3">
      <t>カンリ</t>
    </rPh>
    <rPh sb="3" eb="5">
      <t>ハンイ</t>
    </rPh>
    <rPh sb="46" eb="49">
      <t>セッテイチ</t>
    </rPh>
    <rPh sb="54" eb="56">
      <t>イカ</t>
    </rPh>
    <rPh sb="57" eb="59">
      <t>バアイ</t>
    </rPh>
    <phoneticPr fontId="1"/>
  </si>
  <si>
    <t>　警戒範囲内となった場合は、適（警戒）と判定</t>
    <rPh sb="1" eb="6">
      <t>ケイカイハンイナイ</t>
    </rPh>
    <rPh sb="10" eb="12">
      <t>バアイ</t>
    </rPh>
    <rPh sb="14" eb="15">
      <t>テキ</t>
    </rPh>
    <rPh sb="16" eb="18">
      <t>ケイカイ</t>
    </rPh>
    <rPh sb="20" eb="22">
      <t>ハンテイ</t>
    </rPh>
    <phoneticPr fontId="1"/>
  </si>
  <si>
    <t>　警戒範囲　-2.0≦d≦-1.6, 1.6≦d≦2.0　（-5.0≦d≦-4.0, 4.0≦d≦5.0　（設定値が20μL以下の場合））</t>
    <rPh sb="1" eb="3">
      <t>ケイカイ</t>
    </rPh>
    <rPh sb="3" eb="5">
      <t>ハンイ</t>
    </rPh>
    <rPh sb="54" eb="57">
      <t>セッテイチ</t>
    </rPh>
    <rPh sb="62" eb="64">
      <t>イカ</t>
    </rPh>
    <rPh sb="65" eb="67">
      <t>バアイ</t>
    </rPh>
    <phoneticPr fontId="1"/>
  </si>
  <si>
    <t>外観：異常なし、リークテスト：リークなし</t>
    <rPh sb="0" eb="1">
      <t>ソト</t>
    </rPh>
    <rPh sb="1" eb="2">
      <t>カン</t>
    </rPh>
    <rPh sb="3" eb="5">
      <t>イジョウ</t>
    </rPh>
    <phoneticPr fontId="1"/>
  </si>
  <si>
    <t>その結果、機能試験作業を完了しました。システムの動作に影響をおよぼさない例外的な障害や基本的な機能は備考に記載しております。</t>
    <rPh sb="0" eb="4">
      <t>ソノケッカ</t>
    </rPh>
    <rPh sb="50" eb="52">
      <t>ビコウ</t>
    </rPh>
    <phoneticPr fontId="1"/>
  </si>
  <si>
    <t>管理ＮＯ．</t>
    <rPh sb="0" eb="2">
      <t>カンリ</t>
    </rPh>
    <phoneticPr fontId="14"/>
  </si>
  <si>
    <t>C:\ピペット\</t>
    <phoneticPr fontId="1"/>
  </si>
  <si>
    <t>管理台帳：ファイル名</t>
    <rPh sb="0" eb="4">
      <t>カンリダイチョウ</t>
    </rPh>
    <rPh sb="9" eb="10">
      <t>メイ</t>
    </rPh>
    <phoneticPr fontId="1"/>
  </si>
  <si>
    <t>管理台帳：シート名</t>
    <rPh sb="8" eb="9">
      <t>メイ</t>
    </rPh>
    <phoneticPr fontId="1"/>
  </si>
  <si>
    <t>検定記録書：管理番号</t>
    <rPh sb="0" eb="2">
      <t>ケンテイ</t>
    </rPh>
    <rPh sb="2" eb="5">
      <t>キロクショ</t>
    </rPh>
    <phoneticPr fontId="1"/>
  </si>
  <si>
    <t>検定記録書：検定範囲</t>
    <rPh sb="0" eb="2">
      <t>ケンテイ</t>
    </rPh>
    <rPh sb="2" eb="5">
      <t>キロクショ</t>
    </rPh>
    <rPh sb="6" eb="8">
      <t>ケンンテイ</t>
    </rPh>
    <rPh sb="8" eb="10">
      <t>ハンイ</t>
    </rPh>
    <phoneticPr fontId="1"/>
  </si>
  <si>
    <t>検定記録書：検定実施日</t>
    <rPh sb="0" eb="2">
      <t>ケンテイ</t>
    </rPh>
    <rPh sb="2" eb="5">
      <t>キロクショ</t>
    </rPh>
    <rPh sb="6" eb="8">
      <t>ケンテイ</t>
    </rPh>
    <rPh sb="8" eb="11">
      <t>ジッシビ</t>
    </rPh>
    <phoneticPr fontId="1"/>
  </si>
  <si>
    <t>検定記録書：メーカー・型式</t>
    <rPh sb="0" eb="2">
      <t>ケンテイ</t>
    </rPh>
    <rPh sb="2" eb="5">
      <t>キロクショ</t>
    </rPh>
    <phoneticPr fontId="1"/>
  </si>
  <si>
    <t>検定記録書：判定年月日</t>
    <rPh sb="0" eb="2">
      <t>ケンテイ</t>
    </rPh>
    <rPh sb="2" eb="5">
      <t>キロクショ</t>
    </rPh>
    <rPh sb="6" eb="8">
      <t>ハンテイ</t>
    </rPh>
    <rPh sb="8" eb="11">
      <t>ネンガッピ</t>
    </rPh>
    <phoneticPr fontId="1"/>
  </si>
  <si>
    <t>検定記録書：検定実施者</t>
    <rPh sb="0" eb="2">
      <t>ケンテイ</t>
    </rPh>
    <rPh sb="2" eb="5">
      <t>キロクショ</t>
    </rPh>
    <rPh sb="6" eb="8">
      <t>ケンテイ</t>
    </rPh>
    <rPh sb="8" eb="11">
      <t>ジッシシャ</t>
    </rPh>
    <phoneticPr fontId="1"/>
  </si>
  <si>
    <t>検定記録書：保存先親フォルダ</t>
    <rPh sb="6" eb="9">
      <t>ホゾンサキ</t>
    </rPh>
    <rPh sb="9" eb="10">
      <t>オヤ</t>
    </rPh>
    <phoneticPr fontId="1"/>
  </si>
  <si>
    <t>検定実施者</t>
    <rPh sb="0" eb="2">
      <t>ケンテイ</t>
    </rPh>
    <rPh sb="2" eb="5">
      <t>ジッシシャ</t>
    </rPh>
    <phoneticPr fontId="1"/>
  </si>
  <si>
    <t>JTP1</t>
    <phoneticPr fontId="1"/>
  </si>
  <si>
    <t>JTP2</t>
    <phoneticPr fontId="1"/>
  </si>
  <si>
    <t>JTP3</t>
  </si>
  <si>
    <t>JTP4</t>
  </si>
  <si>
    <t>JTP5</t>
  </si>
  <si>
    <t>管理台帳項目リスト</t>
    <rPh sb="0" eb="4">
      <t>カンリダイチョウ</t>
    </rPh>
    <rPh sb="4" eb="6">
      <t>コウモク</t>
    </rPh>
    <phoneticPr fontId="1"/>
  </si>
  <si>
    <t>検定記録書項目リスト</t>
    <rPh sb="0" eb="5">
      <t>ケンテイキロクショ</t>
    </rPh>
    <rPh sb="5" eb="7">
      <t>コウモク</t>
    </rPh>
    <phoneticPr fontId="1"/>
  </si>
  <si>
    <t>検定記録書：前回交換日</t>
    <rPh sb="0" eb="2">
      <t>ケンテイ</t>
    </rPh>
    <rPh sb="2" eb="5">
      <t>キロクショ</t>
    </rPh>
    <rPh sb="6" eb="8">
      <t>ゼンカイ</t>
    </rPh>
    <rPh sb="8" eb="10">
      <t>コウカン</t>
    </rPh>
    <rPh sb="10" eb="11">
      <t>ヒ</t>
    </rPh>
    <phoneticPr fontId="1"/>
  </si>
  <si>
    <t>橋本知代子</t>
  </si>
  <si>
    <t>検定記録書：性能試験回数</t>
    <rPh sb="0" eb="2">
      <t>ケンテイ</t>
    </rPh>
    <rPh sb="2" eb="5">
      <t>キロクショ</t>
    </rPh>
    <rPh sb="6" eb="8">
      <t>セイノウ</t>
    </rPh>
    <rPh sb="8" eb="10">
      <t>シケン</t>
    </rPh>
    <rPh sb="10" eb="12">
      <t>カイスウ</t>
    </rPh>
    <phoneticPr fontId="1"/>
  </si>
  <si>
    <t>検定記録書：水温</t>
    <rPh sb="0" eb="2">
      <t>ケンテイ</t>
    </rPh>
    <rPh sb="2" eb="5">
      <t>キロクショ</t>
    </rPh>
    <rPh sb="6" eb="8">
      <t>スイオン</t>
    </rPh>
    <phoneticPr fontId="1"/>
  </si>
  <si>
    <t>ISO 8655-6:2002(E)より</t>
    <phoneticPr fontId="3"/>
  </si>
  <si>
    <t>Z factor (1,013 hPa)</t>
    <phoneticPr fontId="3"/>
  </si>
  <si>
    <t>ﾟC</t>
  </si>
  <si>
    <t xml:space="preserve"> μL/mg</t>
    <phoneticPr fontId="3"/>
  </si>
  <si>
    <t>オートピペット Calibration</t>
    <phoneticPr fontId="1"/>
  </si>
  <si>
    <t>Documents 
Title</t>
    <phoneticPr fontId="1"/>
  </si>
  <si>
    <t>検定記録書  （様式－１）</t>
    <rPh sb="0" eb="2">
      <t>ケンテイ</t>
    </rPh>
    <rPh sb="2" eb="5">
      <t>キロクショ</t>
    </rPh>
    <rPh sb="8" eb="10">
      <t>ヨウシキ</t>
    </rPh>
    <phoneticPr fontId="1"/>
  </si>
  <si>
    <t>SOPT-C01４</t>
    <phoneticPr fontId="1"/>
  </si>
  <si>
    <t>サーモフィッシャーサイエンティフィック株式会社は、本システムの点検と機器校正を本ドキュメントの内容に基づき実施しました。</t>
    <phoneticPr fontId="1"/>
  </si>
  <si>
    <t>尚、サーモフィッシャーサイエンティフィック株式会社はこれらの事に関し、不利益とならないように誠意をもって対応させて頂きます。</t>
    <phoneticPr fontId="1"/>
  </si>
  <si>
    <t>品　名</t>
    <phoneticPr fontId="1"/>
  </si>
  <si>
    <t>オートピペット</t>
    <phoneticPr fontId="1"/>
  </si>
  <si>
    <t>検定実施日</t>
    <phoneticPr fontId="1"/>
  </si>
  <si>
    <t>管理No.</t>
    <phoneticPr fontId="1"/>
  </si>
  <si>
    <t>メーカー・型式</t>
    <phoneticPr fontId="1"/>
  </si>
  <si>
    <t>検定範囲</t>
    <rPh sb="0" eb="2">
      <t>ケンテイ</t>
    </rPh>
    <rPh sb="2" eb="4">
      <t>ハンイ</t>
    </rPh>
    <phoneticPr fontId="1"/>
  </si>
  <si>
    <t>外観検査</t>
    <phoneticPr fontId="1"/>
  </si>
  <si>
    <t>リークテスト</t>
    <phoneticPr fontId="1"/>
  </si>
  <si>
    <t>部品交換</t>
    <phoneticPr fontId="1"/>
  </si>
  <si>
    <t>部品交換後のリークテスト</t>
    <rPh sb="0" eb="2">
      <t>ブヒン</t>
    </rPh>
    <rPh sb="2" eb="4">
      <t>コウカン</t>
    </rPh>
    <rPh sb="4" eb="5">
      <t>ゴ</t>
    </rPh>
    <phoneticPr fontId="1"/>
  </si>
  <si>
    <t>水温</t>
    <rPh sb="0" eb="2">
      <t>スイオン</t>
    </rPh>
    <phoneticPr fontId="3"/>
  </si>
  <si>
    <t>天秤識別番号</t>
    <rPh sb="0" eb="2">
      <t>テンビン</t>
    </rPh>
    <rPh sb="2" eb="4">
      <t>シキベツ</t>
    </rPh>
    <rPh sb="4" eb="6">
      <t>バンゴウ</t>
    </rPh>
    <phoneticPr fontId="3"/>
  </si>
  <si>
    <t>試験回数</t>
    <rPh sb="0" eb="4">
      <t>シケンカイスウ</t>
    </rPh>
    <phoneticPr fontId="3"/>
  </si>
  <si>
    <t>n</t>
    <phoneticPr fontId="3"/>
  </si>
  <si>
    <t>平均値(μL)</t>
    <rPh sb="0" eb="2">
      <t>ヘイキン</t>
    </rPh>
    <rPh sb="2" eb="3">
      <t>チ</t>
    </rPh>
    <phoneticPr fontId="3"/>
  </si>
  <si>
    <t>ｽﾞﾚ(%)</t>
    <phoneticPr fontId="3"/>
  </si>
  <si>
    <t>変動係数(%)</t>
    <rPh sb="0" eb="2">
      <t>ヘンドウ</t>
    </rPh>
    <rPh sb="2" eb="4">
      <t>ケイスウ</t>
    </rPh>
    <phoneticPr fontId="3"/>
  </si>
  <si>
    <t>判定</t>
    <rPh sb="0" eb="2">
      <t>ハンテイ</t>
    </rPh>
    <phoneticPr fontId="1"/>
  </si>
  <si>
    <t>℃(温度計NO.SAS-4032)</t>
    <rPh sb="2" eb="5">
      <t>オンドケイ</t>
    </rPh>
    <phoneticPr fontId="1"/>
  </si>
  <si>
    <t>検体最大容量</t>
    <rPh sb="0" eb="2">
      <t>ケンタイ</t>
    </rPh>
    <rPh sb="2" eb="4">
      <t>サイダイ</t>
    </rPh>
    <rPh sb="4" eb="6">
      <t>ヨウリョウ</t>
    </rPh>
    <phoneticPr fontId="1"/>
  </si>
  <si>
    <t>質量(mg)</t>
    <rPh sb="0" eb="2">
      <t>シツリョウ</t>
    </rPh>
    <phoneticPr fontId="1"/>
  </si>
  <si>
    <t>μL</t>
    <phoneticPr fontId="1"/>
  </si>
  <si>
    <t>容量</t>
    <rPh sb="0" eb="2">
      <t>ヨウリョウ</t>
    </rPh>
    <phoneticPr fontId="1"/>
  </si>
  <si>
    <t>Z Factor</t>
    <phoneticPr fontId="1"/>
  </si>
  <si>
    <t>検体最小容量</t>
    <rPh sb="0" eb="2">
      <t>ケンタイ</t>
    </rPh>
    <rPh sb="2" eb="4">
      <t>サイショウ</t>
    </rPh>
    <rPh sb="4" eb="6">
      <t>ヨウリョウ</t>
    </rPh>
    <phoneticPr fontId="1"/>
  </si>
  <si>
    <t>－－－－</t>
    <phoneticPr fontId="1"/>
  </si>
  <si>
    <t>－－－－</t>
    <phoneticPr fontId="1"/>
  </si>
  <si>
    <t>－－－－</t>
    <phoneticPr fontId="1"/>
  </si>
  <si>
    <t>－－－－</t>
    <phoneticPr fontId="1"/>
  </si>
  <si>
    <t>－－</t>
    <phoneticPr fontId="1"/>
  </si>
  <si>
    <t>－－－－</t>
    <phoneticPr fontId="1"/>
  </si>
  <si>
    <t>不適</t>
    <rPh sb="0" eb="2">
      <t>フテキ</t>
    </rPh>
    <phoneticPr fontId="1"/>
  </si>
  <si>
    <t>適</t>
    <rPh sb="0" eb="1">
      <t>テキ</t>
    </rPh>
    <phoneticPr fontId="1"/>
  </si>
  <si>
    <t>ATRD</t>
    <phoneticPr fontId="1"/>
  </si>
  <si>
    <t>容量</t>
    <rPh sb="0" eb="2">
      <t>ヨウリョウ</t>
    </rPh>
    <phoneticPr fontId="1"/>
  </si>
  <si>
    <t>変動係数</t>
    <rPh sb="0" eb="2">
      <t>ヘンドウ</t>
    </rPh>
    <rPh sb="2" eb="4">
      <t>ケイスウ</t>
    </rPh>
    <phoneticPr fontId="1"/>
  </si>
  <si>
    <t>適(警戒）</t>
  </si>
  <si>
    <t>20μL以下</t>
    <rPh sb="4" eb="6">
      <t>イカ</t>
    </rPh>
    <phoneticPr fontId="1"/>
  </si>
  <si>
    <t>ｽﾞﾚ</t>
    <phoneticPr fontId="1"/>
  </si>
  <si>
    <t>ｽﾞﾚ &gt; 5</t>
    <phoneticPr fontId="1"/>
  </si>
  <si>
    <t>ｽﾞﾚ &gt; 3.9</t>
    <phoneticPr fontId="1"/>
  </si>
  <si>
    <t>上記以外</t>
    <rPh sb="0" eb="2">
      <t>ジョウキ</t>
    </rPh>
    <rPh sb="2" eb="4">
      <t>イガイ</t>
    </rPh>
    <phoneticPr fontId="1"/>
  </si>
  <si>
    <t>変動係数 &gt; 2</t>
    <phoneticPr fontId="1"/>
  </si>
  <si>
    <t>10μL未満</t>
    <rPh sb="4" eb="6">
      <t>ミマン</t>
    </rPh>
    <phoneticPr fontId="1"/>
  </si>
  <si>
    <t>10μL以上</t>
    <rPh sb="4" eb="6">
      <t>イジョウ</t>
    </rPh>
    <phoneticPr fontId="1"/>
  </si>
  <si>
    <t>ｽﾞﾚ &gt; 2</t>
    <phoneticPr fontId="1"/>
  </si>
  <si>
    <t>変動係数 &gt; 1</t>
    <phoneticPr fontId="1"/>
  </si>
  <si>
    <t>20μL超</t>
    <rPh sb="4" eb="5">
      <t>コ</t>
    </rPh>
    <phoneticPr fontId="1"/>
  </si>
  <si>
    <t>前回交換実施日：</t>
    <phoneticPr fontId="1"/>
  </si>
  <si>
    <t>）回目</t>
    <phoneticPr fontId="1"/>
  </si>
  <si>
    <t>性能試験　　　（　　 　　</t>
    <rPh sb="0" eb="2">
      <t>セイノウ</t>
    </rPh>
    <rPh sb="2" eb="4">
      <t>シケン</t>
    </rPh>
    <phoneticPr fontId="3"/>
  </si>
  <si>
    <t>－－</t>
    <phoneticPr fontId="1"/>
  </si>
  <si>
    <t>小数点下３桁</t>
    <rPh sb="0" eb="3">
      <t>ショウスウテン</t>
    </rPh>
    <rPh sb="3" eb="4">
      <t>シモ</t>
    </rPh>
    <rPh sb="5" eb="6">
      <t>ケタ</t>
    </rPh>
    <phoneticPr fontId="1"/>
  </si>
  <si>
    <t>上記以外</t>
    <rPh sb="0" eb="4">
      <t>ジョウキイガイ</t>
    </rPh>
    <phoneticPr fontId="1"/>
  </si>
  <si>
    <t>小数点下2桁</t>
    <rPh sb="0" eb="3">
      <t>ショウスウテン</t>
    </rPh>
    <rPh sb="3" eb="4">
      <t>シモ</t>
    </rPh>
    <rPh sb="5" eb="6">
      <t>ケタ</t>
    </rPh>
    <phoneticPr fontId="1"/>
  </si>
  <si>
    <t>大容量</t>
    <rPh sb="0" eb="3">
      <t>ダイヨウリョウ</t>
    </rPh>
    <phoneticPr fontId="1"/>
  </si>
  <si>
    <t>0-10未満</t>
    <rPh sb="4" eb="6">
      <t>ミマン</t>
    </rPh>
    <phoneticPr fontId="1"/>
  </si>
  <si>
    <t>質量</t>
    <rPh sb="0" eb="2">
      <t>シツリョウ</t>
    </rPh>
    <phoneticPr fontId="1"/>
  </si>
  <si>
    <t>検定実施者：</t>
    <phoneticPr fontId="1"/>
  </si>
  <si>
    <t>=IFERROR(IF(ABS(J$50)&lt;=2,"適","不適"),"")</t>
    <phoneticPr fontId="1"/>
  </si>
  <si>
    <t>F14</t>
    <phoneticPr fontId="1"/>
  </si>
  <si>
    <t>F15</t>
    <phoneticPr fontId="1"/>
  </si>
  <si>
    <t>P13</t>
    <phoneticPr fontId="1"/>
  </si>
  <si>
    <t>P14</t>
    <phoneticPr fontId="1"/>
  </si>
  <si>
    <t>I18</t>
    <phoneticPr fontId="1"/>
  </si>
  <si>
    <t>J42</t>
    <phoneticPr fontId="1"/>
  </si>
  <si>
    <t>R42</t>
    <phoneticPr fontId="1"/>
  </si>
  <si>
    <t>I65</t>
    <phoneticPr fontId="1"/>
  </si>
  <si>
    <t>S65</t>
    <phoneticPr fontId="1"/>
  </si>
  <si>
    <t>G40</t>
    <phoneticPr fontId="1"/>
  </si>
  <si>
    <t>E64</t>
    <phoneticPr fontId="1"/>
  </si>
  <si>
    <t>検定記録書：判定</t>
    <rPh sb="0" eb="2">
      <t>ケンテイ</t>
    </rPh>
    <rPh sb="2" eb="5">
      <t>キロクショ</t>
    </rPh>
    <rPh sb="6" eb="8">
      <t>ハンテイ</t>
    </rPh>
    <phoneticPr fontId="1"/>
  </si>
  <si>
    <t>検定記録書：検体最大容量</t>
    <rPh sb="0" eb="2">
      <t>ケンテイ</t>
    </rPh>
    <rPh sb="2" eb="5">
      <t>キロクショ</t>
    </rPh>
    <phoneticPr fontId="1"/>
  </si>
  <si>
    <t>検定記録書：検体最小容量</t>
    <rPh sb="0" eb="2">
      <t>ケンテイ</t>
    </rPh>
    <rPh sb="2" eb="5">
      <t>キロクショ</t>
    </rPh>
    <rPh sb="9" eb="10">
      <t>ショウ</t>
    </rPh>
    <phoneticPr fontId="1"/>
  </si>
  <si>
    <t>A37</t>
    <phoneticPr fontId="1"/>
  </si>
  <si>
    <t>F</t>
    <phoneticPr fontId="1"/>
  </si>
  <si>
    <t>C</t>
    <phoneticPr fontId="1"/>
  </si>
  <si>
    <t>検定記録書：最大質量</t>
    <rPh sb="6" eb="8">
      <t>サイダイ</t>
    </rPh>
    <rPh sb="8" eb="10">
      <t>シツリョウ</t>
    </rPh>
    <phoneticPr fontId="1"/>
  </si>
  <si>
    <t>検定記録書：最小質量</t>
    <rPh sb="6" eb="8">
      <t>サイショウ</t>
    </rPh>
    <rPh sb="8" eb="10">
      <t>シツリョウ</t>
    </rPh>
    <phoneticPr fontId="1"/>
  </si>
  <si>
    <t>O44:O48</t>
    <phoneticPr fontId="1"/>
  </si>
  <si>
    <t>G44:G48</t>
    <phoneticPr fontId="1"/>
  </si>
  <si>
    <t>　　　サーモフィッシャーサイエンティフィック株式会社</t>
    <phoneticPr fontId="1"/>
  </si>
  <si>
    <t>適</t>
    <rPh sb="0" eb="1">
      <t>テキ</t>
    </rPh>
    <phoneticPr fontId="1"/>
  </si>
  <si>
    <t>Error</t>
    <phoneticPr fontId="1"/>
  </si>
  <si>
    <t>検定記録書：備考</t>
    <rPh sb="0" eb="2">
      <t>ケンテイ</t>
    </rPh>
    <rPh sb="2" eb="5">
      <t>キロクショ</t>
    </rPh>
    <rPh sb="6" eb="8">
      <t>ビコウ</t>
    </rPh>
    <phoneticPr fontId="1"/>
  </si>
  <si>
    <t>A56</t>
    <phoneticPr fontId="1"/>
  </si>
  <si>
    <t>適(警戒)</t>
    <phoneticPr fontId="1"/>
  </si>
  <si>
    <t>適(警戒)</t>
    <phoneticPr fontId="1"/>
  </si>
  <si>
    <t xml:space="preserve">　　 年 　　 　月  　　　日    </t>
    <phoneticPr fontId="1"/>
  </si>
  <si>
    <t>2017年1月.xlsx</t>
    <phoneticPr fontId="1"/>
  </si>
  <si>
    <t>G</t>
    <phoneticPr fontId="1"/>
  </si>
  <si>
    <t>H</t>
    <phoneticPr fontId="1"/>
  </si>
  <si>
    <t>J</t>
    <phoneticPr fontId="1"/>
  </si>
  <si>
    <t>K</t>
    <phoneticPr fontId="1"/>
  </si>
  <si>
    <t>Sheet1</t>
    <phoneticPr fontId="1"/>
  </si>
  <si>
    <t>ラベルリスト項目リスト</t>
    <rPh sb="6" eb="8">
      <t>コウモク</t>
    </rPh>
    <phoneticPr fontId="1"/>
  </si>
  <si>
    <t>ラベルリスト：保存先親フォルダ</t>
    <rPh sb="7" eb="10">
      <t>ホゾンサキ</t>
    </rPh>
    <rPh sb="10" eb="11">
      <t>オヤ</t>
    </rPh>
    <phoneticPr fontId="1"/>
  </si>
  <si>
    <t>ラベルリスト：検定実施日</t>
    <rPh sb="7" eb="9">
      <t>ケンテイ</t>
    </rPh>
    <rPh sb="9" eb="12">
      <t>ジッシビ</t>
    </rPh>
    <phoneticPr fontId="1"/>
  </si>
  <si>
    <t>分解清掃日</t>
  </si>
  <si>
    <t>ラベルリスト：</t>
    <phoneticPr fontId="1"/>
  </si>
  <si>
    <t>検定範囲</t>
  </si>
  <si>
    <t>A</t>
    <phoneticPr fontId="1"/>
  </si>
  <si>
    <t>B</t>
    <phoneticPr fontId="1"/>
  </si>
  <si>
    <t>D</t>
    <phoneticPr fontId="1"/>
  </si>
  <si>
    <t>E</t>
    <phoneticPr fontId="1"/>
  </si>
  <si>
    <t>ラベルリスト</t>
    <phoneticPr fontId="1"/>
  </si>
  <si>
    <t>U</t>
    <phoneticPr fontId="1"/>
  </si>
  <si>
    <t>CSK担当者</t>
    <rPh sb="3" eb="6">
      <t>タントウシャ</t>
    </rPh>
    <phoneticPr fontId="1"/>
  </si>
  <si>
    <t>PM</t>
  </si>
  <si>
    <t>R</t>
    <phoneticPr fontId="1"/>
  </si>
  <si>
    <t>ラベルリスト：ファイル名</t>
    <rPh sb="11" eb="12">
      <t>メイ</t>
    </rPh>
    <phoneticPr fontId="1"/>
  </si>
  <si>
    <t>ラベルリスト：シート名</t>
    <rPh sb="10" eb="11">
      <t>メイ</t>
    </rPh>
    <phoneticPr fontId="1"/>
  </si>
  <si>
    <t>ラベルリスト.xlsx</t>
    <phoneticPr fontId="1"/>
  </si>
  <si>
    <t>ラベルリスト：次回検定日</t>
    <phoneticPr fontId="1"/>
  </si>
  <si>
    <t>ラベルリスト：検定範囲</t>
    <phoneticPr fontId="1"/>
  </si>
  <si>
    <t>ラベルリスト：分解清掃日</t>
    <phoneticPr fontId="1"/>
  </si>
  <si>
    <t>管理台帳：管理番号の列名</t>
    <rPh sb="0" eb="2">
      <t>カンリ</t>
    </rPh>
    <rPh sb="2" eb="4">
      <t>ダイチョウ</t>
    </rPh>
    <rPh sb="5" eb="7">
      <t>カンリ</t>
    </rPh>
    <rPh sb="7" eb="9">
      <t>バンゴウ</t>
    </rPh>
    <rPh sb="10" eb="12">
      <t>レツメイ</t>
    </rPh>
    <phoneticPr fontId="1"/>
  </si>
  <si>
    <t>管理台帳：部門の列名</t>
    <rPh sb="5" eb="7">
      <t>ブモン</t>
    </rPh>
    <rPh sb="8" eb="9">
      <t>レツ</t>
    </rPh>
    <rPh sb="9" eb="10">
      <t>メイ</t>
    </rPh>
    <phoneticPr fontId="1"/>
  </si>
  <si>
    <t>管理台帳：分解実施日の列名</t>
    <rPh sb="5" eb="10">
      <t>ブンカイジッシヒ</t>
    </rPh>
    <phoneticPr fontId="1"/>
  </si>
  <si>
    <t>管理台帳：メーカーの列名</t>
    <phoneticPr fontId="1"/>
  </si>
  <si>
    <t>管理台帳：型式の列名</t>
    <rPh sb="5" eb="7">
      <t>カタシキ</t>
    </rPh>
    <phoneticPr fontId="1"/>
  </si>
  <si>
    <t>管理台帳：検定実施日の列名</t>
    <rPh sb="5" eb="7">
      <t>ケンテイ</t>
    </rPh>
    <rPh sb="7" eb="10">
      <t>ジッシビ</t>
    </rPh>
    <phoneticPr fontId="1"/>
  </si>
  <si>
    <t>管理台帳：次回検定日の列名</t>
    <rPh sb="5" eb="7">
      <t>ジカイ</t>
    </rPh>
    <rPh sb="7" eb="10">
      <t>ケンテイビ</t>
    </rPh>
    <phoneticPr fontId="1"/>
  </si>
  <si>
    <t>管理台帳：ch数の列名</t>
    <rPh sb="7" eb="8">
      <t>スウ</t>
    </rPh>
    <phoneticPr fontId="1"/>
  </si>
  <si>
    <t>管理台帳：最小最大容量の列名</t>
    <rPh sb="5" eb="7">
      <t>サイショウ</t>
    </rPh>
    <rPh sb="7" eb="9">
      <t>サイダイ</t>
    </rPh>
    <rPh sb="9" eb="11">
      <t>ヨウリョウ</t>
    </rPh>
    <phoneticPr fontId="1"/>
  </si>
  <si>
    <t>V</t>
    <phoneticPr fontId="1"/>
  </si>
  <si>
    <t>管理台帳：管理データ開始行</t>
    <rPh sb="5" eb="7">
      <t>カンリ</t>
    </rPh>
    <rPh sb="10" eb="12">
      <t>カイシ</t>
    </rPh>
    <rPh sb="12" eb="13">
      <t>ギョウ</t>
    </rPh>
    <phoneticPr fontId="1"/>
  </si>
  <si>
    <t>I</t>
    <phoneticPr fontId="1"/>
  </si>
  <si>
    <t>管理台帳：保存先フォルダ</t>
    <rPh sb="0" eb="2">
      <t>カンリ</t>
    </rPh>
    <rPh sb="2" eb="4">
      <t>ダイチョウ</t>
    </rPh>
    <rPh sb="5" eb="8">
      <t>ホゾンサキ</t>
    </rPh>
    <phoneticPr fontId="1"/>
  </si>
  <si>
    <t>W</t>
    <phoneticPr fontId="1"/>
  </si>
  <si>
    <t>管理台帳：検定回数の列名</t>
    <phoneticPr fontId="1"/>
  </si>
  <si>
    <t>検定記録書：ファイル名</t>
    <rPh sb="0" eb="2">
      <t>ケンテイ</t>
    </rPh>
    <rPh sb="2" eb="5">
      <t>キロクショ</t>
    </rPh>
    <rPh sb="10" eb="11">
      <t>メイ</t>
    </rPh>
    <phoneticPr fontId="1"/>
  </si>
  <si>
    <t>検定記録書：シート名</t>
    <rPh sb="0" eb="2">
      <t>ケンテイ</t>
    </rPh>
    <rPh sb="2" eb="5">
      <t>キロクショ</t>
    </rPh>
    <rPh sb="9" eb="10">
      <t>メイ</t>
    </rPh>
    <phoneticPr fontId="1"/>
  </si>
  <si>
    <t>オートピペット案 RU 20161122.xlsm</t>
    <phoneticPr fontId="1"/>
  </si>
  <si>
    <t>ラベルリスト：ラベルリストデータ開始行</t>
    <rPh sb="16" eb="18">
      <t>カイシ</t>
    </rPh>
    <rPh sb="18" eb="19">
      <t>ギョウ</t>
    </rPh>
    <phoneticPr fontId="1"/>
  </si>
  <si>
    <t>ラベルリスト：管理番号</t>
    <phoneticPr fontId="1"/>
  </si>
  <si>
    <t>点　検
責任者</t>
    <rPh sb="0" eb="1">
      <t>テン</t>
    </rPh>
    <rPh sb="2" eb="3">
      <t>ケン</t>
    </rPh>
    <rPh sb="4" eb="7">
      <t>セキニンシャ</t>
    </rPh>
    <phoneticPr fontId="1"/>
  </si>
  <si>
    <t>齋藤智様(4241)、川上信彦様(9157)、中村裕子様(4569)</t>
    <rPh sb="23" eb="25">
      <t>ナカムラ</t>
    </rPh>
    <rPh sb="25" eb="27">
      <t>ユウコ</t>
    </rPh>
    <rPh sb="27" eb="28">
      <t>サマ</t>
    </rPh>
    <phoneticPr fontId="14"/>
  </si>
  <si>
    <t>ATRD</t>
  </si>
  <si>
    <t>RAININ</t>
  </si>
  <si>
    <t>E55</t>
  </si>
  <si>
    <t>A6F</t>
  </si>
  <si>
    <t>実験室6-1</t>
    <rPh sb="0" eb="3">
      <t>ジッケンシツ</t>
    </rPh>
    <phoneticPr fontId="26"/>
  </si>
  <si>
    <t>2PM</t>
  </si>
  <si>
    <t>検定日</t>
    <phoneticPr fontId="1"/>
  </si>
  <si>
    <t>次回検定月</t>
    <rPh sb="4" eb="5">
      <t>ツキ</t>
    </rPh>
    <phoneticPr fontId="1"/>
  </si>
  <si>
    <t>5,y</t>
  </si>
  <si>
    <t>PIPETTE</t>
    <phoneticPr fontId="1"/>
  </si>
  <si>
    <t>管理部署
（CPMC管理機器のみ○を付ける）</t>
    <phoneticPr fontId="14"/>
  </si>
  <si>
    <t>Equipment Group</t>
    <phoneticPr fontId="1"/>
  </si>
  <si>
    <t>GEHC Barcode</t>
    <phoneticPr fontId="1"/>
  </si>
  <si>
    <t>TFS Barcode</t>
    <phoneticPr fontId="14"/>
  </si>
  <si>
    <t>Dept.</t>
    <phoneticPr fontId="1"/>
  </si>
  <si>
    <t>Item Number</t>
    <phoneticPr fontId="1"/>
  </si>
  <si>
    <t>Manufacturer</t>
    <phoneticPr fontId="1"/>
  </si>
  <si>
    <t>Equipment Name</t>
    <phoneticPr fontId="25"/>
  </si>
  <si>
    <t>Model Number</t>
    <phoneticPr fontId="1"/>
  </si>
  <si>
    <t>Customer Asset Number</t>
    <phoneticPr fontId="1"/>
  </si>
  <si>
    <t>Serial Number</t>
    <phoneticPr fontId="1"/>
  </si>
  <si>
    <t>Building Number</t>
    <phoneticPr fontId="14"/>
  </si>
  <si>
    <t>Floor</t>
    <phoneticPr fontId="1"/>
  </si>
  <si>
    <t>Room No.
(VQDI)</t>
    <phoneticPr fontId="14"/>
  </si>
  <si>
    <t>Room Name</t>
    <phoneticPr fontId="1"/>
  </si>
  <si>
    <t xml:space="preserve">Service Level </t>
    <phoneticPr fontId="1"/>
  </si>
  <si>
    <t>Number of PM</t>
    <phoneticPr fontId="1"/>
  </si>
  <si>
    <t xml:space="preserve">PM Schedule
</t>
    <phoneticPr fontId="1"/>
  </si>
  <si>
    <t>検定実施日</t>
    <phoneticPr fontId="26"/>
  </si>
  <si>
    <t>18184</t>
  </si>
  <si>
    <t>RC03</t>
  </si>
  <si>
    <t>1ch</t>
  </si>
  <si>
    <t>LTS20</t>
  </si>
  <si>
    <t>2-20uL</t>
  </si>
  <si>
    <t>F0306324A</t>
  </si>
  <si>
    <t>5, 11</t>
  </si>
  <si>
    <t>20μL-2μL</t>
  </si>
  <si>
    <t>RAININ LTS20</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</si>
</sst>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76" formatCode="0_);[Red]\(0\)"/>
    <numFmt numFmtId="177" formatCode="[DBNum1][$-411]General"/>
    <numFmt numFmtId="178" formatCode="yyyy&quot;年&quot;mm&quot;月&quot;dd&quot;日&quot;"/>
    <numFmt numFmtId="179" formatCode="0.00000_ "/>
    <numFmt numFmtId="180" formatCode="0.0_ "/>
    <numFmt numFmtId="181" formatCode="0.0000_ "/>
    <numFmt numFmtId="182" formatCode="0.0_);[Red]\(0.0\)"/>
    <numFmt numFmtId="183" formatCode="0.000_);[Red]\(0.000\)"/>
    <numFmt numFmtId="184" formatCode="0.0000_);[Red]\(0.0000\)"/>
    <numFmt numFmtId="185" formatCode="0.00000_);[Red]\(0.00000\)"/>
    <numFmt numFmtId="186" formatCode="&quot;&quot;"/>
    <numFmt numFmtId="187" formatCode="yyyy&quot;年&quot;mm&quot;月&quot;"/>
  </numFmts>
  <fonts count="28">
    <font>
      <sz val="11"/>
      <name val="ＭＳ Ｐゴシック"/>
      <family val="3"/>
      <charset val="128"/>
    </font>
    <font>
      <sz val="6"/>
      <name val="ＭＳ Ｐゴシック"/>
      <family val="3"/>
      <charset val="128"/>
    </font>
    <font>
      <sz val="11"/>
      <name val="ＭＳ 明朝"/>
      <family val="1"/>
      <charset val="128"/>
    </font>
    <font>
      <sz val="6"/>
      <name val="ＭＳ 明朝"/>
      <family val="1"/>
      <charset val="128"/>
    </font>
    <font>
      <sz val="11"/>
      <name val="ＭＳ Ｐゴシック"/>
      <family val="3"/>
      <charset val="128"/>
      <scheme val="minor"/>
    </font>
    <font>
      <sz val="16"/>
      <name val="ＭＳ Ｐゴシック"/>
      <family val="3"/>
      <charset val="128"/>
      <scheme val="minor"/>
    </font>
    <font>
      <b/>
      <sz val="16"/>
      <name val="ＭＳ Ｐゴシック"/>
      <family val="3"/>
      <charset val="128"/>
      <scheme val="minor"/>
    </font>
    <font>
      <sz val="18"/>
      <name val="ＭＳ Ｐゴシック"/>
      <family val="3"/>
      <charset val="128"/>
      <scheme val="minor"/>
    </font>
    <font>
      <sz val="12"/>
      <name val="ＭＳ Ｐゴシック"/>
      <family val="3"/>
      <charset val="128"/>
      <scheme val="minor"/>
    </font>
    <font>
      <sz val="8"/>
      <name val="ＭＳ Ｐゴシック"/>
      <family val="3"/>
      <charset val="128"/>
      <scheme val="minor"/>
    </font>
    <font>
      <sz val="10"/>
      <name val="ＭＳ Ｐゴシック"/>
      <family val="3"/>
      <charset val="128"/>
      <scheme val="minor"/>
    </font>
    <font>
      <sz val="40"/>
      <name val="ＭＳ Ｐゴシック"/>
      <family val="3"/>
      <charset val="128"/>
      <scheme val="minor"/>
    </font>
    <font>
      <sz val="14"/>
      <name val="ＭＳ Ｐゴシック"/>
      <family val="3"/>
      <charset val="128"/>
      <scheme val="minor"/>
    </font>
    <font>
      <b/>
      <sz val="10"/>
      <name val="Meiryo UI"/>
      <family val="3"/>
      <charset val="128"/>
    </font>
    <font>
      <sz val="6"/>
      <name val="GE Inspira Pitch"/>
      <family val="2"/>
      <charset val="128"/>
    </font>
    <font>
      <sz val="10"/>
      <name val="Meiryo UI"/>
      <family val="3"/>
      <charset val="128"/>
    </font>
    <font>
      <sz val="9"/>
      <name val="ＭＳ Ｐゴシック"/>
      <family val="3"/>
      <charset val="128"/>
      <scheme val="minor"/>
    </font>
    <font>
      <b/>
      <sz val="18"/>
      <name val="ＭＳ Ｐゴシック"/>
      <family val="3"/>
      <charset val="128"/>
      <scheme val="minor"/>
    </font>
    <font>
      <sz val="15"/>
      <name val="ＭＳ Ｐゴシック"/>
      <family val="3"/>
      <charset val="128"/>
      <scheme val="minor"/>
    </font>
    <font>
      <sz val="13"/>
      <name val="ＭＳ Ｐゴシック"/>
      <family val="3"/>
      <charset val="128"/>
      <scheme val="minor"/>
    </font>
    <font>
      <sz val="20"/>
      <name val="ＭＳ Ｐゴシック"/>
      <family val="3"/>
      <charset val="128"/>
      <scheme val="minor"/>
    </font>
    <font>
      <sz val="11"/>
      <color rgb="FF000000"/>
      <name val="ＭＳ Ｐゴシック"/>
      <family val="3"/>
      <charset val="128"/>
    </font>
    <font>
      <sz val="12"/>
      <color theme="0"/>
      <name val="ＭＳ Ｐゴシック"/>
      <family val="3"/>
      <charset val="128"/>
      <scheme val="minor"/>
    </font>
    <font>
      <sz val="11"/>
      <color theme="0"/>
      <name val="ＭＳ Ｐゴシック"/>
      <family val="3"/>
      <charset val="128"/>
      <scheme val="minor"/>
    </font>
    <font>
      <sz val="12"/>
      <name val="ＭＳ Ｐゴシック"/>
      <family val="3"/>
      <charset val="128"/>
    </font>
    <font>
      <sz val="10"/>
      <name val="ＭＳ Ｐゴシック"/>
      <family val="3"/>
      <charset val="128"/>
    </font>
    <font>
      <sz val="6"/>
      <name val="ＭＳ Ｐゴシック"/>
      <family val="2"/>
      <charset val="128"/>
      <scheme val="minor"/>
    </font>
    <font>
      <sz val="11"/>
      <color theme="1"/>
      <name val="ＭＳ Ｐゴシック"/>
      <family val="3"/>
      <charset val="128"/>
      <scheme val="minor"/>
    </font>
  </fonts>
  <fills count="7">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00FF00"/>
        <bgColor indexed="64"/>
      </patternFill>
    </fill>
    <fill>
      <patternFill patternType="solid">
        <fgColor theme="9" tint="0.79998168889431442"/>
        <bgColor indexed="64"/>
      </patternFill>
    </fill>
  </fills>
  <borders count="61">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diagonalUp="1">
      <left/>
      <right style="thin">
        <color indexed="64"/>
      </right>
      <top style="thin">
        <color indexed="64"/>
      </top>
      <bottom style="medium">
        <color indexed="64"/>
      </bottom>
      <diagonal style="thin">
        <color indexed="64"/>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diagonal/>
    </border>
  </borders>
  <cellStyleXfs count="5">
    <xf numFmtId="0" fontId="0" fillId="0" borderId="0"/>
    <xf numFmtId="0" fontId="2" fillId="0" borderId="0"/>
    <xf numFmtId="0" fontId="24" fillId="0" borderId="0">
      <alignment vertical="center"/>
    </xf>
    <xf numFmtId="0" fontId="27" fillId="0" borderId="0">
      <alignment vertical="center"/>
    </xf>
    <xf numFmtId="0" fontId="25" fillId="0" borderId="0">
      <alignment vertical="center"/>
    </xf>
  </cellStyleXfs>
  <cellXfs count="297">
    <xf numFmtId="0" fontId="0" fillId="0" borderId="0" xfId="0"/>
    <xf numFmtId="0" fontId="4" fillId="2" borderId="0" xfId="0" applyFont="1" applyFill="1"/>
    <xf numFmtId="0" fontId="4" fillId="0" borderId="0" xfId="0" applyFont="1" applyFill="1" applyBorder="1"/>
    <xf numFmtId="0" fontId="8" fillId="0" borderId="0" xfId="0" applyFont="1"/>
    <xf numFmtId="0" fontId="8" fillId="0" borderId="0" xfId="0" applyFont="1" applyBorder="1"/>
    <xf numFmtId="0" fontId="8" fillId="0" borderId="0" xfId="0" applyFont="1" applyAlignment="1">
      <alignment vertical="center" wrapText="1"/>
    </xf>
    <xf numFmtId="0" fontId="4" fillId="0" borderId="0" xfId="0" applyFont="1"/>
    <xf numFmtId="0" fontId="10" fillId="0" borderId="0" xfId="1" applyNumberFormat="1" applyFont="1" applyAlignment="1" applyProtection="1">
      <alignment horizontal="center"/>
    </xf>
    <xf numFmtId="0" fontId="10" fillId="0" borderId="0" xfId="1" applyNumberFormat="1" applyFont="1" applyFill="1" applyBorder="1" applyAlignment="1" applyProtection="1">
      <alignment horizontal="center"/>
    </xf>
    <xf numFmtId="179" fontId="10" fillId="0" borderId="0" xfId="1" applyNumberFormat="1" applyFont="1" applyFill="1" applyBorder="1" applyAlignment="1" applyProtection="1">
      <alignment horizontal="center" vertical="center"/>
    </xf>
    <xf numFmtId="180" fontId="10" fillId="0" borderId="0" xfId="1" applyNumberFormat="1" applyFont="1" applyFill="1" applyBorder="1" applyAlignment="1" applyProtection="1">
      <alignment horizontal="center"/>
    </xf>
    <xf numFmtId="181" fontId="10" fillId="0" borderId="0" xfId="1" applyNumberFormat="1" applyFont="1" applyFill="1" applyBorder="1" applyAlignment="1" applyProtection="1">
      <alignment horizontal="center" vertical="center"/>
    </xf>
    <xf numFmtId="181" fontId="10" fillId="0" borderId="0" xfId="1" applyNumberFormat="1" applyFont="1" applyFill="1" applyBorder="1" applyAlignment="1" applyProtection="1">
      <alignment horizontal="center"/>
    </xf>
    <xf numFmtId="0" fontId="10" fillId="0" borderId="0" xfId="1" applyNumberFormat="1" applyFont="1" applyAlignment="1" applyProtection="1"/>
    <xf numFmtId="0" fontId="4" fillId="0" borderId="0" xfId="0" applyFont="1" applyAlignment="1">
      <alignment vertical="center"/>
    </xf>
    <xf numFmtId="181" fontId="10" fillId="0" borderId="28" xfId="1" applyNumberFormat="1" applyFont="1" applyFill="1" applyBorder="1" applyAlignment="1" applyProtection="1">
      <alignment horizontal="center" vertical="center"/>
    </xf>
    <xf numFmtId="180" fontId="10" fillId="0" borderId="28" xfId="1" applyNumberFormat="1" applyFont="1" applyFill="1" applyBorder="1" applyAlignment="1" applyProtection="1">
      <alignment horizontal="center" vertical="center"/>
    </xf>
    <xf numFmtId="180" fontId="10" fillId="0" borderId="47" xfId="1" applyNumberFormat="1" applyFont="1" applyFill="1" applyBorder="1" applyAlignment="1" applyProtection="1">
      <alignment horizontal="center" vertical="center"/>
    </xf>
    <xf numFmtId="181" fontId="10" fillId="0" borderId="47" xfId="1" applyNumberFormat="1" applyFont="1" applyFill="1" applyBorder="1" applyAlignment="1" applyProtection="1">
      <alignment horizontal="center" vertical="center"/>
    </xf>
    <xf numFmtId="0" fontId="10" fillId="0" borderId="58" xfId="1" applyNumberFormat="1" applyFont="1" applyFill="1" applyBorder="1" applyAlignment="1" applyProtection="1">
      <alignment horizontal="center" vertical="center"/>
    </xf>
    <xf numFmtId="179" fontId="10" fillId="0" borderId="58" xfId="1" applyNumberFormat="1" applyFont="1" applyFill="1" applyBorder="1" applyAlignment="1" applyProtection="1">
      <alignment horizontal="center" vertical="center"/>
    </xf>
    <xf numFmtId="0" fontId="8" fillId="0" borderId="28" xfId="0" applyFont="1" applyBorder="1" applyAlignment="1">
      <alignment horizontal="center" vertical="center"/>
    </xf>
    <xf numFmtId="0" fontId="4" fillId="2" borderId="4" xfId="0" applyFont="1" applyFill="1" applyBorder="1" applyProtection="1">
      <protection locked="0"/>
    </xf>
    <xf numFmtId="0" fontId="9" fillId="2" borderId="4" xfId="0" applyFont="1" applyFill="1" applyBorder="1" applyProtection="1">
      <protection locked="0"/>
    </xf>
    <xf numFmtId="0" fontId="8" fillId="2" borderId="4" xfId="0" applyFont="1" applyFill="1" applyBorder="1" applyProtection="1">
      <protection locked="0"/>
    </xf>
    <xf numFmtId="0" fontId="16" fillId="2" borderId="4" xfId="0" applyFont="1" applyFill="1" applyBorder="1" applyProtection="1">
      <protection locked="0"/>
    </xf>
    <xf numFmtId="0" fontId="4" fillId="2" borderId="1" xfId="0" applyFont="1" applyFill="1" applyBorder="1" applyProtection="1">
      <protection locked="0"/>
    </xf>
    <xf numFmtId="0" fontId="4" fillId="2" borderId="0" xfId="0" applyFont="1" applyFill="1" applyBorder="1" applyProtection="1">
      <protection locked="0"/>
    </xf>
    <xf numFmtId="0" fontId="10" fillId="2" borderId="0" xfId="0" applyFont="1" applyFill="1" applyBorder="1" applyProtection="1">
      <protection locked="0"/>
    </xf>
    <xf numFmtId="0" fontId="4" fillId="2" borderId="0" xfId="0" applyFont="1" applyFill="1" applyBorder="1" applyAlignment="1" applyProtection="1">
      <protection locked="0"/>
    </xf>
    <xf numFmtId="0" fontId="8" fillId="0" borderId="0" xfId="0" applyFont="1" applyBorder="1" applyProtection="1">
      <protection locked="0"/>
    </xf>
    <xf numFmtId="0" fontId="4" fillId="0" borderId="0" xfId="0" applyFont="1" applyFill="1" applyBorder="1" applyAlignment="1" applyProtection="1">
      <protection locked="0"/>
    </xf>
    <xf numFmtId="0" fontId="4" fillId="0" borderId="0" xfId="0" applyFont="1" applyFill="1" applyBorder="1" applyProtection="1">
      <protection locked="0"/>
    </xf>
    <xf numFmtId="0" fontId="8" fillId="0" borderId="3" xfId="0" applyFont="1" applyBorder="1" applyProtection="1">
      <protection locked="0"/>
    </xf>
    <xf numFmtId="0" fontId="8" fillId="0" borderId="4" xfId="0" applyFont="1" applyBorder="1" applyProtection="1">
      <protection locked="0"/>
    </xf>
    <xf numFmtId="0" fontId="8" fillId="0" borderId="5" xfId="0" applyFont="1" applyBorder="1" applyProtection="1">
      <protection locked="0"/>
    </xf>
    <xf numFmtId="0" fontId="4" fillId="0" borderId="8" xfId="0" applyFont="1" applyBorder="1" applyAlignment="1" applyProtection="1">
      <protection locked="0"/>
    </xf>
    <xf numFmtId="0" fontId="4" fillId="0" borderId="0" xfId="0" applyFont="1" applyBorder="1" applyAlignment="1" applyProtection="1">
      <protection locked="0"/>
    </xf>
    <xf numFmtId="0" fontId="4" fillId="0" borderId="0" xfId="0" applyFont="1" applyBorder="1" applyAlignment="1" applyProtection="1">
      <alignment horizontal="left" vertical="top" indent="2"/>
      <protection locked="0"/>
    </xf>
    <xf numFmtId="0" fontId="8" fillId="0" borderId="0" xfId="0" applyFont="1" applyBorder="1" applyAlignment="1" applyProtection="1">
      <protection locked="0"/>
    </xf>
    <xf numFmtId="0" fontId="4" fillId="0" borderId="7" xfId="0" applyFont="1" applyBorder="1" applyAlignment="1" applyProtection="1">
      <protection locked="0"/>
    </xf>
    <xf numFmtId="0" fontId="20" fillId="0" borderId="0" xfId="0" applyFont="1" applyBorder="1" applyAlignment="1" applyProtection="1">
      <alignment horizontal="left" vertical="top"/>
      <protection locked="0"/>
    </xf>
    <xf numFmtId="0" fontId="7" fillId="0" borderId="0" xfId="0" applyFont="1" applyBorder="1" applyAlignment="1" applyProtection="1">
      <alignment horizontal="left" vertical="top" indent="2"/>
      <protection locked="0"/>
    </xf>
    <xf numFmtId="0" fontId="7" fillId="0" borderId="0" xfId="0" applyFont="1" applyBorder="1" applyAlignment="1" applyProtection="1">
      <alignment horizontal="left"/>
      <protection locked="0"/>
    </xf>
    <xf numFmtId="0" fontId="4" fillId="0" borderId="7" xfId="0" applyFont="1" applyBorder="1" applyAlignment="1" applyProtection="1">
      <alignment horizontal="left" vertical="top" indent="2"/>
      <protection locked="0"/>
    </xf>
    <xf numFmtId="0" fontId="4" fillId="0" borderId="0" xfId="0" quotePrefix="1" applyFont="1" applyBorder="1" applyAlignment="1" applyProtection="1">
      <alignment horizontal="left" vertical="top" indent="2"/>
      <protection locked="0"/>
    </xf>
    <xf numFmtId="0" fontId="4" fillId="0" borderId="0" xfId="0" quotePrefix="1" applyFont="1" applyBorder="1" applyAlignment="1" applyProtection="1">
      <protection locked="0"/>
    </xf>
    <xf numFmtId="0" fontId="4" fillId="0" borderId="13" xfId="0" applyFont="1" applyBorder="1" applyAlignment="1" applyProtection="1">
      <alignment vertical="top"/>
      <protection locked="0"/>
    </xf>
    <xf numFmtId="0" fontId="4" fillId="0" borderId="0" xfId="0"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2" borderId="0" xfId="0" applyFont="1" applyFill="1" applyBorder="1"/>
    <xf numFmtId="0" fontId="10" fillId="0" borderId="0" xfId="1" applyNumberFormat="1" applyFont="1" applyBorder="1" applyAlignment="1" applyProtection="1"/>
    <xf numFmtId="0" fontId="4" fillId="0" borderId="0" xfId="0" applyFont="1" applyBorder="1" applyAlignment="1">
      <alignment vertical="center"/>
    </xf>
    <xf numFmtId="0" fontId="16" fillId="2" borderId="5" xfId="0" applyFont="1" applyFill="1" applyBorder="1" applyProtection="1">
      <protection locked="0"/>
    </xf>
    <xf numFmtId="0" fontId="4" fillId="2" borderId="59" xfId="0" applyFont="1" applyFill="1" applyBorder="1" applyProtection="1">
      <protection locked="0"/>
    </xf>
    <xf numFmtId="0" fontId="4" fillId="2" borderId="8" xfId="0" applyFont="1" applyFill="1" applyBorder="1" applyProtection="1">
      <protection locked="0"/>
    </xf>
    <xf numFmtId="0" fontId="4" fillId="2" borderId="7" xfId="0" applyFont="1" applyFill="1" applyBorder="1" applyProtection="1">
      <protection locked="0"/>
    </xf>
    <xf numFmtId="0" fontId="4" fillId="0" borderId="8" xfId="0" applyFont="1" applyBorder="1" applyAlignment="1" applyProtection="1">
      <alignment horizontal="left" vertical="center"/>
      <protection locked="0"/>
    </xf>
    <xf numFmtId="0" fontId="8" fillId="0" borderId="7" xfId="0" applyFont="1" applyBorder="1" applyProtection="1">
      <protection locked="0"/>
    </xf>
    <xf numFmtId="0" fontId="4" fillId="0" borderId="8" xfId="0" applyFont="1" applyFill="1" applyBorder="1" applyAlignment="1" applyProtection="1">
      <alignment horizontal="left" vertical="center"/>
      <protection locked="0"/>
    </xf>
    <xf numFmtId="0" fontId="10" fillId="0" borderId="0" xfId="0" applyFont="1" applyFill="1" applyBorder="1" applyProtection="1">
      <protection locked="0"/>
    </xf>
    <xf numFmtId="0" fontId="8" fillId="0" borderId="7" xfId="0" applyFont="1" applyFill="1" applyBorder="1" applyProtection="1">
      <protection locked="0"/>
    </xf>
    <xf numFmtId="0" fontId="4" fillId="0" borderId="8" xfId="0" applyFont="1" applyFill="1" applyBorder="1" applyProtection="1">
      <protection locked="0"/>
    </xf>
    <xf numFmtId="0" fontId="4" fillId="0" borderId="7" xfId="0" applyFont="1" applyFill="1" applyBorder="1" applyProtection="1">
      <protection locked="0"/>
    </xf>
    <xf numFmtId="0" fontId="4" fillId="0" borderId="8" xfId="0" applyFont="1" applyBorder="1" applyAlignment="1" applyProtection="1">
      <alignment vertical="center"/>
      <protection locked="0"/>
    </xf>
    <xf numFmtId="0" fontId="23" fillId="0" borderId="0" xfId="0" applyFont="1" applyBorder="1" applyAlignment="1" applyProtection="1">
      <protection locked="0"/>
    </xf>
    <xf numFmtId="0" fontId="0" fillId="0" borderId="0" xfId="0" quotePrefix="1" applyNumberFormat="1"/>
    <xf numFmtId="0" fontId="0" fillId="0" borderId="0" xfId="0" applyFill="1"/>
    <xf numFmtId="0" fontId="13" fillId="5" borderId="28" xfId="0" applyNumberFormat="1" applyFont="1" applyFill="1" applyBorder="1" applyAlignment="1">
      <alignment vertical="top" wrapText="1"/>
    </xf>
    <xf numFmtId="0" fontId="13" fillId="5" borderId="28" xfId="0" applyNumberFormat="1" applyFont="1" applyFill="1" applyBorder="1" applyAlignment="1" applyProtection="1">
      <alignment vertical="top" wrapText="1"/>
    </xf>
    <xf numFmtId="0" fontId="13" fillId="5" borderId="28" xfId="0" applyNumberFormat="1" applyFont="1" applyFill="1" applyBorder="1" applyAlignment="1">
      <alignment horizontal="left" vertical="top" wrapText="1"/>
    </xf>
    <xf numFmtId="49" fontId="13" fillId="5" borderId="28" xfId="2" applyNumberFormat="1" applyFont="1" applyFill="1" applyBorder="1" applyAlignment="1">
      <alignment horizontal="center" vertical="center" wrapText="1"/>
    </xf>
    <xf numFmtId="0" fontId="13" fillId="6" borderId="28" xfId="0" applyFont="1" applyFill="1" applyBorder="1" applyAlignment="1">
      <alignment horizontal="center" vertical="center" wrapText="1"/>
    </xf>
    <xf numFmtId="0" fontId="13" fillId="5" borderId="28" xfId="0" applyNumberFormat="1" applyFont="1" applyFill="1" applyBorder="1" applyAlignment="1">
      <alignment horizontal="center" vertical="top" wrapText="1"/>
    </xf>
    <xf numFmtId="0" fontId="13" fillId="5" borderId="28" xfId="0" applyFont="1" applyFill="1" applyBorder="1" applyAlignment="1">
      <alignment horizontal="center" vertical="top" wrapText="1"/>
    </xf>
    <xf numFmtId="0" fontId="13" fillId="5" borderId="28" xfId="0" applyNumberFormat="1" applyFont="1" applyFill="1" applyBorder="1" applyAlignment="1" applyProtection="1">
      <alignment horizontal="left" vertical="top" wrapText="1"/>
    </xf>
    <xf numFmtId="0" fontId="13" fillId="5" borderId="28" xfId="0" applyNumberFormat="1" applyFont="1" applyFill="1" applyBorder="1" applyAlignment="1" applyProtection="1">
      <alignment horizontal="center" vertical="top" wrapText="1"/>
    </xf>
    <xf numFmtId="14" fontId="13" fillId="4" borderId="28" xfId="0" applyNumberFormat="1" applyFont="1" applyFill="1" applyBorder="1" applyAlignment="1">
      <alignment horizontal="center" vertical="top" wrapText="1"/>
    </xf>
    <xf numFmtId="14" fontId="13" fillId="5" borderId="28" xfId="0" applyNumberFormat="1" applyFont="1" applyFill="1" applyBorder="1" applyAlignment="1">
      <alignment horizontal="center" vertical="top" wrapText="1"/>
    </xf>
    <xf numFmtId="0" fontId="0" fillId="0" borderId="0" xfId="0" applyAlignment="1">
      <alignment horizontal="center" vertical="top"/>
    </xf>
    <xf numFmtId="0" fontId="0" fillId="0" borderId="0" xfId="0" applyAlignment="1">
      <alignment vertical="center"/>
    </xf>
    <xf numFmtId="0" fontId="0" fillId="0" borderId="0" xfId="0" applyBorder="1"/>
    <xf numFmtId="178" fontId="0" fillId="0" borderId="0" xfId="0" applyNumberFormat="1" applyBorder="1"/>
    <xf numFmtId="0" fontId="0" fillId="0" borderId="0" xfId="0" applyFill="1" applyBorder="1" applyAlignment="1">
      <alignment horizontal="center" vertical="center"/>
    </xf>
    <xf numFmtId="178" fontId="0" fillId="0" borderId="0" xfId="0" applyNumberFormat="1" applyFill="1" applyBorder="1" applyAlignment="1">
      <alignment horizontal="center" vertical="center"/>
    </xf>
    <xf numFmtId="0" fontId="15" fillId="0" borderId="28" xfId="0" applyNumberFormat="1" applyFont="1" applyFill="1" applyBorder="1" applyAlignment="1" applyProtection="1">
      <alignment vertical="center"/>
    </xf>
    <xf numFmtId="0" fontId="15" fillId="0" borderId="28" xfId="0" applyFont="1" applyFill="1" applyBorder="1" applyAlignment="1" applyProtection="1">
      <alignment horizontal="left" vertical="center"/>
    </xf>
    <xf numFmtId="0" fontId="15" fillId="0" borderId="28" xfId="2" applyFont="1" applyFill="1" applyBorder="1" applyAlignment="1" applyProtection="1">
      <alignment horizontal="center" vertical="center"/>
    </xf>
    <xf numFmtId="0" fontId="15" fillId="6" borderId="28" xfId="0" applyFont="1" applyFill="1" applyBorder="1" applyAlignment="1" applyProtection="1">
      <alignment horizontal="center" vertical="center"/>
    </xf>
    <xf numFmtId="0" fontId="15" fillId="0" borderId="28" xfId="0" applyFont="1" applyFill="1" applyBorder="1" applyAlignment="1" applyProtection="1">
      <alignment horizontal="center" vertical="center"/>
    </xf>
    <xf numFmtId="49" fontId="15" fillId="0" borderId="28" xfId="0" applyNumberFormat="1" applyFont="1" applyFill="1" applyBorder="1" applyAlignment="1" applyProtection="1">
      <alignment horizontal="left" vertical="center"/>
    </xf>
    <xf numFmtId="0" fontId="15" fillId="0" borderId="28" xfId="0" applyFont="1" applyFill="1" applyBorder="1" applyAlignment="1" applyProtection="1">
      <alignment horizontal="center" vertical="center" shrinkToFit="1"/>
    </xf>
    <xf numFmtId="49" fontId="15" fillId="0" borderId="28" xfId="0" applyNumberFormat="1" applyFont="1" applyFill="1" applyBorder="1" applyAlignment="1" applyProtection="1">
      <alignment horizontal="center" vertical="center" shrinkToFit="1"/>
    </xf>
    <xf numFmtId="0" fontId="18" fillId="0" borderId="23" xfId="0" applyFont="1" applyFill="1" applyBorder="1" applyAlignment="1" applyProtection="1">
      <alignment horizontal="center" vertical="center"/>
      <protection locked="0"/>
    </xf>
    <xf numFmtId="0" fontId="18" fillId="0" borderId="4" xfId="0" applyFont="1" applyFill="1" applyBorder="1" applyAlignment="1" applyProtection="1">
      <alignment horizontal="center" vertical="center"/>
      <protection locked="0"/>
    </xf>
    <xf numFmtId="0" fontId="18" fillId="0" borderId="5"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8" fillId="0" borderId="13" xfId="0" applyFont="1" applyFill="1" applyBorder="1" applyAlignment="1" applyProtection="1">
      <alignment horizontal="center" vertical="center"/>
      <protection locked="0"/>
    </xf>
    <xf numFmtId="0" fontId="18" fillId="0" borderId="14" xfId="0" applyFont="1" applyFill="1" applyBorder="1" applyAlignment="1" applyProtection="1">
      <alignment horizontal="center" vertical="center"/>
      <protection locked="0"/>
    </xf>
    <xf numFmtId="0" fontId="8" fillId="0" borderId="28" xfId="0" applyFont="1" applyBorder="1" applyAlignment="1">
      <alignment horizontal="center" vertical="center"/>
    </xf>
    <xf numFmtId="0" fontId="18" fillId="0" borderId="55" xfId="0" applyFont="1" applyFill="1" applyBorder="1" applyAlignment="1" applyProtection="1">
      <alignment horizontal="center" vertical="center"/>
      <protection locked="0"/>
    </xf>
    <xf numFmtId="0" fontId="18" fillId="0" borderId="53" xfId="0" applyFont="1" applyFill="1" applyBorder="1" applyAlignment="1" applyProtection="1">
      <alignment horizontal="center" vertical="center"/>
      <protection locked="0"/>
    </xf>
    <xf numFmtId="0" fontId="18" fillId="0" borderId="54" xfId="0" applyFont="1" applyFill="1" applyBorder="1" applyAlignment="1" applyProtection="1">
      <alignment horizontal="center" vertical="center"/>
      <protection locked="0"/>
    </xf>
    <xf numFmtId="178" fontId="18" fillId="0" borderId="55" xfId="0" applyNumberFormat="1" applyFont="1" applyFill="1" applyBorder="1" applyAlignment="1" applyProtection="1">
      <alignment horizontal="center" vertical="center"/>
    </xf>
    <xf numFmtId="0" fontId="4" fillId="0" borderId="8" xfId="0" applyFont="1" applyBorder="1" applyAlignment="1" applyProtection="1">
      <alignment horizontal="left" vertical="top"/>
      <protection locked="0"/>
    </xf>
    <xf numFmtId="0" fontId="4" fillId="0" borderId="0" xfId="0" applyFont="1" applyBorder="1" applyAlignment="1" applyProtection="1">
      <alignment horizontal="left" vertical="top"/>
      <protection locked="0"/>
    </xf>
    <xf numFmtId="0" fontId="4" fillId="0" borderId="7" xfId="0" applyFont="1" applyBorder="1" applyAlignment="1" applyProtection="1">
      <alignment horizontal="left" vertical="top"/>
      <protection locked="0"/>
    </xf>
    <xf numFmtId="0" fontId="4" fillId="0" borderId="12" xfId="0" applyFont="1" applyBorder="1" applyAlignment="1" applyProtection="1">
      <alignment horizontal="left" vertical="top"/>
      <protection locked="0"/>
    </xf>
    <xf numFmtId="0" fontId="4" fillId="0" borderId="13" xfId="0" applyFont="1" applyBorder="1" applyAlignment="1" applyProtection="1">
      <alignment horizontal="left" vertical="top"/>
      <protection locked="0"/>
    </xf>
    <xf numFmtId="0" fontId="4" fillId="0" borderId="14" xfId="0" applyFont="1" applyBorder="1" applyAlignment="1" applyProtection="1">
      <alignment horizontal="left" vertical="top"/>
      <protection locked="0"/>
    </xf>
    <xf numFmtId="0" fontId="5" fillId="0" borderId="3" xfId="0" applyFont="1" applyBorder="1" applyAlignment="1" applyProtection="1">
      <alignment horizontal="left" vertical="top"/>
      <protection locked="0"/>
    </xf>
    <xf numFmtId="0" fontId="5" fillId="0" borderId="4" xfId="0" applyFont="1" applyBorder="1" applyAlignment="1" applyProtection="1">
      <alignment horizontal="left" vertical="top"/>
      <protection locked="0"/>
    </xf>
    <xf numFmtId="0" fontId="5" fillId="0" borderId="5" xfId="0" applyFont="1" applyBorder="1" applyAlignment="1" applyProtection="1">
      <alignment horizontal="left" vertical="top"/>
      <protection locked="0"/>
    </xf>
    <xf numFmtId="0" fontId="4" fillId="0" borderId="1" xfId="0" applyFont="1" applyBorder="1" applyAlignment="1">
      <alignment horizontal="center" vertical="center"/>
    </xf>
    <xf numFmtId="185" fontId="4" fillId="0" borderId="28" xfId="0" applyNumberFormat="1" applyFont="1" applyBorder="1" applyAlignment="1" applyProtection="1">
      <alignment horizontal="center"/>
      <protection locked="0"/>
    </xf>
    <xf numFmtId="0" fontId="4" fillId="0" borderId="28" xfId="0" applyFont="1" applyBorder="1" applyAlignment="1" applyProtection="1">
      <alignment horizontal="center"/>
      <protection locked="0"/>
    </xf>
    <xf numFmtId="0" fontId="4" fillId="0" borderId="31" xfId="0" applyFont="1" applyBorder="1" applyAlignment="1" applyProtection="1">
      <alignment horizontal="center"/>
      <protection locked="0"/>
    </xf>
    <xf numFmtId="0" fontId="7" fillId="0" borderId="3" xfId="0" applyFont="1" applyFill="1" applyBorder="1" applyAlignment="1" applyProtection="1">
      <alignment horizontal="center" textRotation="255"/>
      <protection locked="0"/>
    </xf>
    <xf numFmtId="0" fontId="7" fillId="0" borderId="5"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textRotation="255"/>
      <protection locked="0"/>
    </xf>
    <xf numFmtId="0" fontId="7" fillId="0" borderId="7"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vertical="top" textRotation="255"/>
      <protection locked="0"/>
    </xf>
    <xf numFmtId="0" fontId="7" fillId="0" borderId="7" xfId="0" applyFont="1" applyFill="1" applyBorder="1" applyAlignment="1" applyProtection="1">
      <alignment horizontal="center" vertical="top" textRotation="255"/>
      <protection locked="0"/>
    </xf>
    <xf numFmtId="0" fontId="7" fillId="0" borderId="12" xfId="0" applyFont="1" applyFill="1" applyBorder="1" applyAlignment="1" applyProtection="1">
      <alignment horizontal="center" vertical="top" textRotation="255"/>
      <protection locked="0"/>
    </xf>
    <xf numFmtId="0" fontId="7" fillId="0" borderId="14" xfId="0" applyFont="1" applyFill="1" applyBorder="1" applyAlignment="1" applyProtection="1">
      <alignment horizontal="center" vertical="top" textRotation="255"/>
      <protection locked="0"/>
    </xf>
    <xf numFmtId="177" fontId="7" fillId="0" borderId="8" xfId="0" applyNumberFormat="1" applyFont="1" applyFill="1" applyBorder="1" applyAlignment="1" applyProtection="1">
      <alignment horizontal="center" vertical="center" textRotation="255"/>
    </xf>
    <xf numFmtId="177" fontId="7" fillId="0" borderId="7" xfId="0" applyNumberFormat="1" applyFont="1" applyFill="1" applyBorder="1" applyAlignment="1" applyProtection="1">
      <alignment horizontal="center" vertical="center" textRotation="255"/>
    </xf>
    <xf numFmtId="183" fontId="4" fillId="3" borderId="24" xfId="0" applyNumberFormat="1" applyFont="1" applyFill="1" applyBorder="1" applyAlignment="1" applyProtection="1">
      <alignment horizontal="center"/>
    </xf>
    <xf numFmtId="183" fontId="4" fillId="3" borderId="28" xfId="0" applyNumberFormat="1" applyFont="1" applyFill="1" applyBorder="1" applyAlignment="1" applyProtection="1">
      <alignment horizontal="center"/>
    </xf>
    <xf numFmtId="0" fontId="4" fillId="0" borderId="24" xfId="0" quotePrefix="1" applyFont="1" applyBorder="1" applyAlignment="1" applyProtection="1">
      <alignment horizontal="center"/>
      <protection locked="0"/>
    </xf>
    <xf numFmtId="182" fontId="4" fillId="0" borderId="28" xfId="0" applyNumberFormat="1" applyFont="1" applyBorder="1" applyAlignment="1" applyProtection="1">
      <alignment horizontal="center"/>
      <protection locked="0"/>
    </xf>
    <xf numFmtId="0" fontId="4" fillId="0" borderId="38" xfId="0" applyFont="1" applyBorder="1" applyAlignment="1" applyProtection="1">
      <alignment horizontal="center"/>
      <protection locked="0"/>
    </xf>
    <xf numFmtId="0" fontId="4" fillId="0" borderId="9" xfId="0" applyFont="1" applyBorder="1" applyAlignment="1" applyProtection="1">
      <alignment horizontal="center"/>
      <protection locked="0"/>
    </xf>
    <xf numFmtId="0" fontId="4" fillId="0" borderId="47" xfId="0" applyFont="1" applyBorder="1" applyAlignment="1" applyProtection="1">
      <alignment horizontal="center"/>
      <protection locked="0"/>
    </xf>
    <xf numFmtId="176" fontId="4" fillId="0" borderId="47" xfId="0" applyNumberFormat="1" applyFont="1" applyFill="1" applyBorder="1" applyAlignment="1" applyProtection="1">
      <alignment horizontal="center"/>
      <protection locked="0"/>
    </xf>
    <xf numFmtId="0" fontId="4" fillId="0" borderId="25" xfId="0" applyFont="1" applyBorder="1" applyAlignment="1" applyProtection="1">
      <alignment horizontal="center"/>
      <protection locked="0"/>
    </xf>
    <xf numFmtId="183" fontId="4" fillId="3" borderId="32" xfId="0" applyNumberFormat="1" applyFont="1" applyFill="1" applyBorder="1" applyAlignment="1" applyProtection="1">
      <alignment horizontal="center"/>
    </xf>
    <xf numFmtId="183" fontId="4" fillId="3" borderId="38" xfId="0" applyNumberFormat="1" applyFont="1" applyFill="1" applyBorder="1" applyAlignment="1" applyProtection="1">
      <alignment horizontal="center"/>
    </xf>
    <xf numFmtId="0" fontId="11" fillId="2" borderId="3" xfId="0" applyFont="1" applyFill="1" applyBorder="1" applyAlignment="1" applyProtection="1">
      <alignment horizontal="center"/>
      <protection locked="0"/>
    </xf>
    <xf numFmtId="0" fontId="4" fillId="0" borderId="4" xfId="0" applyFont="1" applyBorder="1" applyAlignment="1" applyProtection="1">
      <alignment horizontal="center"/>
      <protection locked="0"/>
    </xf>
    <xf numFmtId="0" fontId="4" fillId="0" borderId="16" xfId="0" applyFont="1" applyBorder="1" applyAlignment="1" applyProtection="1">
      <alignment horizontal="center"/>
      <protection locked="0"/>
    </xf>
    <xf numFmtId="0" fontId="4" fillId="0" borderId="8" xfId="0" applyFont="1" applyBorder="1" applyAlignment="1" applyProtection="1">
      <alignment horizontal="center"/>
      <protection locked="0"/>
    </xf>
    <xf numFmtId="0" fontId="4" fillId="0" borderId="0" xfId="0" applyFont="1" applyBorder="1" applyAlignment="1" applyProtection="1">
      <alignment horizontal="center"/>
      <protection locked="0"/>
    </xf>
    <xf numFmtId="0" fontId="4" fillId="0" borderId="11" xfId="0" applyFont="1" applyBorder="1" applyAlignment="1" applyProtection="1">
      <alignment horizontal="center"/>
      <protection locked="0"/>
    </xf>
    <xf numFmtId="0" fontId="4" fillId="0" borderId="34" xfId="0" applyFont="1" applyBorder="1" applyAlignment="1" applyProtection="1">
      <alignment horizontal="center"/>
      <protection locked="0"/>
    </xf>
    <xf numFmtId="0" fontId="4" fillId="0" borderId="1" xfId="0" applyFont="1" applyBorder="1" applyAlignment="1" applyProtection="1">
      <alignment horizontal="center"/>
      <protection locked="0"/>
    </xf>
    <xf numFmtId="0" fontId="9" fillId="2" borderId="4" xfId="0" applyFont="1" applyFill="1" applyBorder="1" applyAlignment="1" applyProtection="1">
      <alignment horizontal="center"/>
      <protection locked="0"/>
    </xf>
    <xf numFmtId="0" fontId="17" fillId="2" borderId="10" xfId="0" applyFont="1" applyFill="1" applyBorder="1" applyAlignment="1" applyProtection="1">
      <alignment horizontal="center" vertical="center" shrinkToFit="1"/>
      <protection locked="0"/>
    </xf>
    <xf numFmtId="0" fontId="17" fillId="2" borderId="0" xfId="0" applyFont="1" applyFill="1" applyBorder="1" applyAlignment="1" applyProtection="1">
      <alignment horizontal="center" vertical="center" shrinkToFit="1"/>
      <protection locked="0"/>
    </xf>
    <xf numFmtId="0" fontId="17" fillId="2" borderId="7" xfId="0" applyFont="1" applyFill="1" applyBorder="1" applyAlignment="1" applyProtection="1">
      <alignment horizontal="center" vertical="center" shrinkToFit="1"/>
      <protection locked="0"/>
    </xf>
    <xf numFmtId="0" fontId="6" fillId="2" borderId="57" xfId="0" applyFont="1" applyFill="1" applyBorder="1" applyAlignment="1" applyProtection="1">
      <alignment horizontal="center" vertical="center" shrinkToFit="1"/>
      <protection locked="0"/>
    </xf>
    <xf numFmtId="0" fontId="6" fillId="2" borderId="6" xfId="0" applyFont="1" applyFill="1" applyBorder="1" applyAlignment="1" applyProtection="1">
      <alignment horizontal="center" vertical="center" shrinkToFit="1"/>
      <protection locked="0"/>
    </xf>
    <xf numFmtId="0" fontId="6" fillId="2" borderId="56" xfId="0" applyFont="1" applyFill="1" applyBorder="1" applyAlignment="1" applyProtection="1">
      <alignment horizontal="center" vertical="center" shrinkToFit="1"/>
      <protection locked="0"/>
    </xf>
    <xf numFmtId="0" fontId="6" fillId="2" borderId="8" xfId="0" applyFont="1" applyFill="1" applyBorder="1" applyAlignment="1" applyProtection="1">
      <alignment horizontal="center" vertical="center" shrinkToFit="1"/>
      <protection locked="0"/>
    </xf>
    <xf numFmtId="0" fontId="6" fillId="2" borderId="0" xfId="0" applyFont="1" applyFill="1" applyBorder="1" applyAlignment="1" applyProtection="1">
      <alignment horizontal="center" vertical="center" shrinkToFit="1"/>
      <protection locked="0"/>
    </xf>
    <xf numFmtId="0" fontId="6" fillId="2" borderId="11" xfId="0" applyFont="1" applyFill="1" applyBorder="1" applyAlignment="1" applyProtection="1">
      <alignment horizontal="center" vertical="center" shrinkToFit="1"/>
      <protection locked="0"/>
    </xf>
    <xf numFmtId="0" fontId="6" fillId="2" borderId="12" xfId="0" applyFont="1" applyFill="1" applyBorder="1" applyAlignment="1" applyProtection="1">
      <alignment horizontal="center" vertical="center" shrinkToFit="1"/>
      <protection locked="0"/>
    </xf>
    <xf numFmtId="0" fontId="6" fillId="2" borderId="13" xfId="0" applyFont="1" applyFill="1" applyBorder="1" applyAlignment="1" applyProtection="1">
      <alignment horizontal="center" vertical="center" shrinkToFit="1"/>
      <protection locked="0"/>
    </xf>
    <xf numFmtId="0" fontId="6" fillId="2" borderId="17" xfId="0" applyFont="1" applyFill="1" applyBorder="1" applyAlignment="1" applyProtection="1">
      <alignment horizontal="center" vertical="center" shrinkToFit="1"/>
      <protection locked="0"/>
    </xf>
    <xf numFmtId="0" fontId="5" fillId="2" borderId="37" xfId="0" applyFont="1" applyFill="1" applyBorder="1" applyAlignment="1" applyProtection="1">
      <alignment horizontal="center" vertical="center" wrapText="1"/>
      <protection locked="0"/>
    </xf>
    <xf numFmtId="0" fontId="5" fillId="2" borderId="6" xfId="0" applyFont="1" applyFill="1" applyBorder="1" applyAlignment="1" applyProtection="1">
      <alignment horizontal="center" vertical="center" wrapText="1"/>
      <protection locked="0"/>
    </xf>
    <xf numFmtId="0" fontId="5" fillId="2" borderId="10" xfId="0" applyFont="1" applyFill="1" applyBorder="1" applyAlignment="1" applyProtection="1">
      <alignment horizontal="center" vertical="center" wrapText="1"/>
      <protection locked="0"/>
    </xf>
    <xf numFmtId="0" fontId="5" fillId="2" borderId="0" xfId="0" applyFont="1" applyFill="1" applyBorder="1" applyAlignment="1" applyProtection="1">
      <alignment horizontal="center" vertical="center" wrapText="1"/>
      <protection locked="0"/>
    </xf>
    <xf numFmtId="0" fontId="5" fillId="2" borderId="35" xfId="0" applyFont="1" applyFill="1" applyBorder="1" applyAlignment="1" applyProtection="1">
      <alignment horizontal="center" vertical="center" wrapText="1"/>
      <protection locked="0"/>
    </xf>
    <xf numFmtId="0" fontId="5" fillId="2" borderId="13" xfId="0" applyFont="1" applyFill="1" applyBorder="1" applyAlignment="1" applyProtection="1">
      <alignment horizontal="center" vertical="center" wrapText="1"/>
      <protection locked="0"/>
    </xf>
    <xf numFmtId="0" fontId="6" fillId="2" borderId="6" xfId="0" applyFont="1" applyFill="1" applyBorder="1" applyAlignment="1" applyProtection="1">
      <alignment horizontal="center" vertical="center"/>
      <protection locked="0"/>
    </xf>
    <xf numFmtId="0" fontId="6" fillId="2" borderId="56" xfId="0" applyFont="1" applyFill="1" applyBorder="1" applyAlignment="1" applyProtection="1">
      <alignment horizontal="center" vertical="center"/>
      <protection locked="0"/>
    </xf>
    <xf numFmtId="0" fontId="6" fillId="2" borderId="0" xfId="0" applyFont="1" applyFill="1" applyBorder="1" applyAlignment="1" applyProtection="1">
      <alignment horizontal="center" vertical="center"/>
      <protection locked="0"/>
    </xf>
    <xf numFmtId="0" fontId="6" fillId="2" borderId="11" xfId="0" applyFont="1" applyFill="1" applyBorder="1" applyAlignment="1" applyProtection="1">
      <alignment horizontal="center" vertical="center"/>
      <protection locked="0"/>
    </xf>
    <xf numFmtId="0" fontId="6" fillId="2" borderId="13" xfId="0" applyFont="1" applyFill="1" applyBorder="1" applyAlignment="1" applyProtection="1">
      <alignment horizontal="center" vertical="center"/>
      <protection locked="0"/>
    </xf>
    <xf numFmtId="0" fontId="6" fillId="2" borderId="17" xfId="0" applyFont="1" applyFill="1" applyBorder="1" applyAlignment="1" applyProtection="1">
      <alignment horizontal="center" vertical="center"/>
      <protection locked="0"/>
    </xf>
    <xf numFmtId="0" fontId="6" fillId="2" borderId="37" xfId="0" applyFont="1" applyFill="1" applyBorder="1" applyAlignment="1" applyProtection="1">
      <alignment horizontal="center" vertical="center" wrapText="1"/>
      <protection locked="0"/>
    </xf>
    <xf numFmtId="0" fontId="6" fillId="2" borderId="60" xfId="0" applyFont="1" applyFill="1" applyBorder="1" applyAlignment="1" applyProtection="1">
      <alignment horizontal="center" vertical="center"/>
      <protection locked="0"/>
    </xf>
    <xf numFmtId="0" fontId="6" fillId="2" borderId="10" xfId="0" applyFont="1" applyFill="1" applyBorder="1" applyAlignment="1" applyProtection="1">
      <alignment horizontal="center" vertical="center"/>
      <protection locked="0"/>
    </xf>
    <xf numFmtId="0" fontId="6" fillId="2" borderId="7" xfId="0" applyFont="1" applyFill="1" applyBorder="1" applyAlignment="1" applyProtection="1">
      <alignment horizontal="center" vertical="center"/>
      <protection locked="0"/>
    </xf>
    <xf numFmtId="0" fontId="6" fillId="2" borderId="35" xfId="0" applyFont="1" applyFill="1" applyBorder="1" applyAlignment="1" applyProtection="1">
      <alignment horizontal="center" vertical="center"/>
      <protection locked="0"/>
    </xf>
    <xf numFmtId="0" fontId="6" fillId="2" borderId="14" xfId="0" applyFont="1" applyFill="1" applyBorder="1" applyAlignment="1" applyProtection="1">
      <alignment horizontal="center" vertical="center"/>
      <protection locked="0"/>
    </xf>
    <xf numFmtId="0" fontId="12" fillId="0" borderId="18" xfId="0" applyFont="1" applyFill="1" applyBorder="1" applyAlignment="1" applyProtection="1">
      <alignment horizontal="center" vertical="center"/>
      <protection locked="0"/>
    </xf>
    <xf numFmtId="0" fontId="12" fillId="0" borderId="19" xfId="0" applyFont="1" applyFill="1" applyBorder="1" applyAlignment="1" applyProtection="1">
      <alignment horizontal="center" vertical="center"/>
      <protection locked="0"/>
    </xf>
    <xf numFmtId="0" fontId="12" fillId="0" borderId="20" xfId="0" applyFont="1" applyFill="1" applyBorder="1" applyAlignment="1" applyProtection="1">
      <alignment horizontal="center" vertical="center"/>
      <protection locked="0"/>
    </xf>
    <xf numFmtId="0" fontId="18" fillId="0" borderId="18" xfId="0" applyFont="1" applyFill="1" applyBorder="1" applyAlignment="1" applyProtection="1">
      <alignment horizontal="center" vertical="center"/>
      <protection locked="0"/>
    </xf>
    <xf numFmtId="0" fontId="18" fillId="0" borderId="19" xfId="0" applyFont="1" applyFill="1" applyBorder="1" applyAlignment="1" applyProtection="1">
      <alignment horizontal="center" vertical="center"/>
      <protection locked="0"/>
    </xf>
    <xf numFmtId="0" fontId="18" fillId="0" borderId="20" xfId="0"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12" fillId="0" borderId="44" xfId="0" applyFont="1" applyFill="1" applyBorder="1" applyAlignment="1" applyProtection="1">
      <alignment horizontal="center" vertical="center"/>
      <protection locked="0"/>
    </xf>
    <xf numFmtId="0" fontId="12" fillId="0" borderId="15" xfId="0" applyFont="1" applyFill="1" applyBorder="1" applyAlignment="1" applyProtection="1">
      <alignment horizontal="center" vertical="center"/>
      <protection locked="0"/>
    </xf>
    <xf numFmtId="0" fontId="12" fillId="0" borderId="40" xfId="0" applyFont="1" applyFill="1" applyBorder="1" applyAlignment="1" applyProtection="1">
      <alignment horizontal="center" vertical="center"/>
      <protection locked="0"/>
    </xf>
    <xf numFmtId="0" fontId="12" fillId="0" borderId="41" xfId="0" applyFont="1" applyFill="1" applyBorder="1" applyAlignment="1" applyProtection="1">
      <alignment horizontal="center" vertical="center"/>
      <protection locked="0"/>
    </xf>
    <xf numFmtId="0" fontId="12" fillId="0" borderId="45" xfId="0" applyFont="1" applyFill="1" applyBorder="1" applyAlignment="1" applyProtection="1">
      <alignment horizontal="center" vertical="center"/>
      <protection locked="0"/>
    </xf>
    <xf numFmtId="0" fontId="12" fillId="0" borderId="42" xfId="0" applyFont="1" applyFill="1" applyBorder="1" applyAlignment="1" applyProtection="1">
      <alignment horizontal="center" vertical="center"/>
      <protection locked="0"/>
    </xf>
    <xf numFmtId="0" fontId="5" fillId="0" borderId="21" xfId="0"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0" fontId="18" fillId="0" borderId="3" xfId="0" applyFont="1" applyFill="1" applyBorder="1" applyAlignment="1" applyProtection="1">
      <alignment horizontal="center" vertical="center"/>
      <protection locked="0"/>
    </xf>
    <xf numFmtId="0" fontId="18" fillId="0" borderId="16" xfId="0" applyFont="1" applyFill="1" applyBorder="1" applyAlignment="1" applyProtection="1">
      <alignment horizontal="center" vertical="center"/>
      <protection locked="0"/>
    </xf>
    <xf numFmtId="0" fontId="5" fillId="0" borderId="29" xfId="0" applyFont="1" applyFill="1" applyBorder="1" applyAlignment="1" applyProtection="1">
      <alignment horizontal="center" vertical="center"/>
      <protection locked="0"/>
    </xf>
    <xf numFmtId="0" fontId="5" fillId="0" borderId="39" xfId="0" applyFont="1" applyFill="1" applyBorder="1" applyAlignment="1" applyProtection="1">
      <alignment horizontal="center" vertical="center"/>
      <protection locked="0"/>
    </xf>
    <xf numFmtId="0" fontId="12" fillId="0" borderId="39" xfId="0" applyFont="1" applyFill="1" applyBorder="1" applyAlignment="1" applyProtection="1">
      <alignment horizontal="center" vertical="center"/>
      <protection locked="0"/>
    </xf>
    <xf numFmtId="178" fontId="12" fillId="0" borderId="39" xfId="0" applyNumberFormat="1" applyFont="1" applyFill="1" applyBorder="1" applyAlignment="1" applyProtection="1">
      <alignment horizontal="center" vertical="center"/>
      <protection locked="0"/>
    </xf>
    <xf numFmtId="178" fontId="12" fillId="0" borderId="30" xfId="0" applyNumberFormat="1" applyFont="1" applyFill="1" applyBorder="1" applyAlignment="1" applyProtection="1">
      <alignment horizontal="center" vertical="center"/>
      <protection locked="0"/>
    </xf>
    <xf numFmtId="0" fontId="5" fillId="0" borderId="24" xfId="0" applyFont="1" applyFill="1" applyBorder="1" applyAlignment="1" applyProtection="1">
      <alignment horizontal="center" vertical="center"/>
      <protection locked="0"/>
    </xf>
    <xf numFmtId="0" fontId="5" fillId="0" borderId="28" xfId="0" applyFont="1" applyFill="1" applyBorder="1" applyAlignment="1" applyProtection="1">
      <alignment horizontal="center" vertical="center"/>
      <protection locked="0"/>
    </xf>
    <xf numFmtId="0" fontId="12" fillId="0" borderId="26" xfId="0" applyFont="1" applyFill="1" applyBorder="1" applyAlignment="1" applyProtection="1">
      <alignment horizontal="center" vertical="center"/>
      <protection locked="0"/>
    </xf>
    <xf numFmtId="0" fontId="12" fillId="0" borderId="2" xfId="0" applyFont="1" applyFill="1" applyBorder="1" applyAlignment="1" applyProtection="1">
      <alignment horizontal="center" vertical="center"/>
      <protection locked="0"/>
    </xf>
    <xf numFmtId="0" fontId="12" fillId="0" borderId="25" xfId="0" applyFont="1" applyFill="1" applyBorder="1" applyAlignment="1" applyProtection="1">
      <alignment horizontal="center" vertical="center"/>
      <protection locked="0"/>
    </xf>
    <xf numFmtId="0" fontId="12" fillId="0" borderId="27" xfId="0" applyFont="1" applyFill="1" applyBorder="1" applyAlignment="1" applyProtection="1">
      <alignment horizontal="center" vertical="center"/>
      <protection locked="0"/>
    </xf>
    <xf numFmtId="0" fontId="5" fillId="0" borderId="3" xfId="0"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8"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 fillId="0" borderId="17" xfId="0" applyFont="1" applyFill="1" applyBorder="1" applyAlignment="1" applyProtection="1">
      <alignment horizontal="center" vertical="center"/>
      <protection locked="0"/>
    </xf>
    <xf numFmtId="0" fontId="8" fillId="0" borderId="23" xfId="0" applyFont="1" applyFill="1" applyBorder="1" applyAlignment="1" applyProtection="1">
      <alignment horizontal="center" vertical="center" wrapText="1"/>
      <protection locked="0"/>
    </xf>
    <xf numFmtId="0" fontId="8" fillId="0" borderId="4" xfId="0" applyFont="1" applyFill="1" applyBorder="1" applyAlignment="1" applyProtection="1">
      <alignment horizontal="center" vertical="center" wrapText="1"/>
      <protection locked="0"/>
    </xf>
    <xf numFmtId="0" fontId="8" fillId="0" borderId="16"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13" xfId="0" applyFont="1" applyFill="1" applyBorder="1" applyAlignment="1" applyProtection="1">
      <alignment horizontal="center" vertical="center" wrapText="1"/>
      <protection locked="0"/>
    </xf>
    <xf numFmtId="0" fontId="8" fillId="0" borderId="17" xfId="0" applyFont="1" applyFill="1" applyBorder="1" applyAlignment="1" applyProtection="1">
      <alignment horizontal="center" vertical="center" wrapText="1"/>
      <protection locked="0"/>
    </xf>
    <xf numFmtId="0" fontId="4" fillId="0" borderId="44" xfId="0" applyFont="1" applyBorder="1" applyAlignment="1" applyProtection="1">
      <alignment horizontal="center"/>
      <protection locked="0"/>
    </xf>
    <xf numFmtId="0" fontId="4" fillId="0" borderId="48" xfId="0" applyFont="1" applyBorder="1" applyAlignment="1" applyProtection="1">
      <alignment horizontal="center"/>
      <protection locked="0"/>
    </xf>
    <xf numFmtId="0" fontId="4" fillId="0" borderId="49" xfId="0" applyFont="1" applyBorder="1" applyAlignment="1" applyProtection="1">
      <alignment horizontal="center"/>
      <protection locked="0"/>
    </xf>
    <xf numFmtId="0" fontId="4" fillId="0" borderId="51" xfId="0" applyFont="1" applyBorder="1" applyAlignment="1" applyProtection="1">
      <alignment horizontal="center"/>
      <protection locked="0"/>
    </xf>
    <xf numFmtId="0" fontId="4" fillId="0" borderId="28" xfId="0" applyFont="1" applyFill="1" applyBorder="1" applyAlignment="1" applyProtection="1">
      <alignment horizontal="center"/>
      <protection locked="0"/>
    </xf>
    <xf numFmtId="0" fontId="4" fillId="0" borderId="31" xfId="0" applyFont="1" applyFill="1" applyBorder="1" applyAlignment="1" applyProtection="1">
      <alignment horizontal="center"/>
      <protection locked="0"/>
    </xf>
    <xf numFmtId="0" fontId="12" fillId="0" borderId="52" xfId="0" applyFont="1" applyFill="1" applyBorder="1" applyAlignment="1" applyProtection="1">
      <alignment horizontal="center" vertical="center"/>
      <protection locked="0"/>
    </xf>
    <xf numFmtId="0" fontId="19" fillId="0" borderId="44" xfId="0" applyFont="1" applyFill="1" applyBorder="1" applyAlignment="1" applyProtection="1">
      <alignment horizontal="center" vertical="center"/>
      <protection locked="0"/>
    </xf>
    <xf numFmtId="0" fontId="19" fillId="0" borderId="15" xfId="0" applyFont="1" applyFill="1" applyBorder="1" applyAlignment="1" applyProtection="1">
      <alignment horizontal="center" vertical="center"/>
      <protection locked="0"/>
    </xf>
    <xf numFmtId="0" fontId="19" fillId="0" borderId="52" xfId="0" applyFont="1" applyFill="1" applyBorder="1" applyAlignment="1" applyProtection="1">
      <alignment horizontal="center" vertical="center"/>
      <protection locked="0"/>
    </xf>
    <xf numFmtId="0" fontId="4" fillId="0" borderId="24" xfId="0" applyFont="1" applyBorder="1" applyAlignment="1" applyProtection="1">
      <alignment horizontal="center"/>
      <protection locked="0"/>
    </xf>
    <xf numFmtId="0" fontId="4" fillId="0" borderId="43" xfId="0" applyFont="1" applyBorder="1" applyAlignment="1" applyProtection="1">
      <alignment horizontal="center"/>
      <protection locked="0"/>
    </xf>
    <xf numFmtId="0" fontId="4" fillId="0" borderId="38" xfId="0" applyFont="1" applyBorder="1" applyAlignment="1" applyProtection="1">
      <alignment horizontal="left"/>
      <protection locked="0"/>
    </xf>
    <xf numFmtId="0" fontId="4" fillId="0" borderId="44" xfId="0" applyFont="1" applyBorder="1" applyAlignment="1" applyProtection="1">
      <alignment horizontal="left"/>
      <protection locked="0"/>
    </xf>
    <xf numFmtId="182" fontId="4" fillId="3" borderId="38" xfId="0" applyNumberFormat="1" applyFont="1" applyFill="1" applyBorder="1" applyAlignment="1" applyProtection="1">
      <alignment horizontal="center"/>
    </xf>
    <xf numFmtId="0" fontId="4" fillId="0" borderId="22" xfId="0" applyFont="1" applyFill="1" applyBorder="1" applyAlignment="1" applyProtection="1">
      <alignment horizontal="center"/>
      <protection locked="0"/>
    </xf>
    <xf numFmtId="0" fontId="4" fillId="0" borderId="48" xfId="0" applyFont="1" applyFill="1" applyBorder="1" applyAlignment="1" applyProtection="1">
      <alignment horizontal="center"/>
      <protection locked="0"/>
    </xf>
    <xf numFmtId="0" fontId="4" fillId="0" borderId="49" xfId="0" applyFont="1" applyFill="1" applyBorder="1" applyAlignment="1" applyProtection="1">
      <alignment horizontal="center"/>
      <protection locked="0"/>
    </xf>
    <xf numFmtId="0" fontId="4" fillId="0" borderId="50" xfId="0" applyFont="1" applyBorder="1" applyAlignment="1" applyProtection="1">
      <alignment horizontal="center"/>
      <protection locked="0"/>
    </xf>
    <xf numFmtId="0" fontId="4" fillId="0" borderId="47" xfId="0" applyNumberFormat="1" applyFont="1" applyFill="1" applyBorder="1" applyAlignment="1" applyProtection="1">
      <alignment horizontal="center"/>
      <protection locked="0"/>
    </xf>
    <xf numFmtId="0" fontId="5" fillId="0" borderId="21" xfId="0" applyFont="1" applyBorder="1" applyAlignment="1" applyProtection="1">
      <alignment horizontal="center" vertical="center" wrapText="1"/>
      <protection locked="0"/>
    </xf>
    <xf numFmtId="0" fontId="5" fillId="0" borderId="19" xfId="0" applyFont="1" applyBorder="1" applyAlignment="1" applyProtection="1">
      <alignment horizontal="center" vertical="center" wrapText="1"/>
      <protection locked="0"/>
    </xf>
    <xf numFmtId="0" fontId="5" fillId="0" borderId="20" xfId="0" applyFont="1" applyBorder="1" applyAlignment="1" applyProtection="1">
      <alignment horizontal="center" vertical="center" wrapText="1"/>
      <protection locked="0"/>
    </xf>
    <xf numFmtId="0" fontId="4" fillId="0" borderId="13" xfId="0" applyFont="1" applyBorder="1" applyAlignment="1" applyProtection="1">
      <alignment vertical="center"/>
      <protection locked="0"/>
    </xf>
    <xf numFmtId="0" fontId="4" fillId="0" borderId="14" xfId="0" applyFont="1" applyBorder="1" applyAlignment="1" applyProtection="1">
      <alignment vertical="center"/>
      <protection locked="0"/>
    </xf>
    <xf numFmtId="0" fontId="5" fillId="0" borderId="29" xfId="0" applyFont="1" applyBorder="1" applyAlignment="1" applyProtection="1">
      <alignment horizontal="center" vertical="center"/>
      <protection locked="0"/>
    </xf>
    <xf numFmtId="0" fontId="5" fillId="0" borderId="39" xfId="0" applyFont="1" applyBorder="1" applyAlignment="1" applyProtection="1">
      <alignment horizontal="center" vertical="center"/>
      <protection locked="0"/>
    </xf>
    <xf numFmtId="0" fontId="5" fillId="0" borderId="32" xfId="0" applyFont="1" applyBorder="1" applyAlignment="1" applyProtection="1">
      <alignment horizontal="center" vertical="center"/>
      <protection locked="0"/>
    </xf>
    <xf numFmtId="0" fontId="5" fillId="0" borderId="38" xfId="0" applyFont="1" applyBorder="1" applyAlignment="1" applyProtection="1">
      <alignment horizontal="center" vertical="center"/>
      <protection locked="0"/>
    </xf>
    <xf numFmtId="186" fontId="22" fillId="0" borderId="23" xfId="0" applyNumberFormat="1" applyFont="1" applyFill="1" applyBorder="1" applyAlignment="1" applyProtection="1">
      <alignment vertical="center" wrapText="1"/>
      <protection locked="0"/>
    </xf>
    <xf numFmtId="186" fontId="22" fillId="0" borderId="5" xfId="0" applyNumberFormat="1" applyFont="1" applyFill="1" applyBorder="1" applyAlignment="1" applyProtection="1">
      <alignment vertical="center" wrapText="1"/>
      <protection locked="0"/>
    </xf>
    <xf numFmtId="186" fontId="22" fillId="0" borderId="35" xfId="0" applyNumberFormat="1" applyFont="1" applyFill="1" applyBorder="1" applyAlignment="1" applyProtection="1">
      <alignment vertical="center" wrapText="1"/>
      <protection locked="0"/>
    </xf>
    <xf numFmtId="186" fontId="22" fillId="0" borderId="14" xfId="0" applyNumberFormat="1" applyFont="1" applyFill="1" applyBorder="1" applyAlignment="1" applyProtection="1">
      <alignment vertical="center" wrapText="1"/>
      <protection locked="0"/>
    </xf>
    <xf numFmtId="0" fontId="12" fillId="0" borderId="3" xfId="0" applyFont="1" applyBorder="1" applyAlignment="1" applyProtection="1">
      <alignment horizontal="center" vertical="center" wrapText="1"/>
      <protection locked="0"/>
    </xf>
    <xf numFmtId="0" fontId="12" fillId="0" borderId="16" xfId="0" applyFont="1" applyBorder="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17" xfId="0" applyFont="1" applyBorder="1" applyAlignment="1" applyProtection="1">
      <alignment horizontal="center" vertical="center"/>
      <protection locked="0"/>
    </xf>
    <xf numFmtId="0" fontId="5" fillId="0" borderId="23" xfId="0" applyFont="1" applyBorder="1" applyAlignment="1" applyProtection="1">
      <alignment horizontal="left" vertical="center"/>
      <protection locked="0"/>
    </xf>
    <xf numFmtId="0" fontId="5" fillId="0" borderId="4" xfId="0" applyFont="1" applyBorder="1" applyAlignment="1" applyProtection="1">
      <alignment horizontal="left" vertical="center"/>
      <protection locked="0"/>
    </xf>
    <xf numFmtId="0" fontId="5" fillId="0" borderId="5" xfId="0" applyFont="1" applyBorder="1" applyAlignment="1" applyProtection="1">
      <alignment horizontal="left" vertical="center"/>
      <protection locked="0"/>
    </xf>
    <xf numFmtId="0" fontId="4" fillId="0" borderId="38" xfId="0" applyFont="1" applyFill="1" applyBorder="1" applyAlignment="1" applyProtection="1">
      <alignment horizontal="center"/>
      <protection locked="0"/>
    </xf>
    <xf numFmtId="0" fontId="4" fillId="0" borderId="33" xfId="0" applyFont="1" applyFill="1" applyBorder="1" applyAlignment="1" applyProtection="1">
      <alignment horizontal="center"/>
      <protection locked="0"/>
    </xf>
    <xf numFmtId="0" fontId="4" fillId="0" borderId="47" xfId="0" applyFont="1" applyFill="1" applyBorder="1" applyAlignment="1" applyProtection="1">
      <alignment horizontal="center"/>
      <protection locked="0"/>
    </xf>
    <xf numFmtId="0" fontId="4" fillId="0" borderId="51" xfId="0" applyFont="1" applyFill="1" applyBorder="1" applyAlignment="1" applyProtection="1">
      <alignment horizontal="center"/>
      <protection locked="0"/>
    </xf>
    <xf numFmtId="0" fontId="5" fillId="0" borderId="24" xfId="0" applyFont="1" applyBorder="1" applyAlignment="1" applyProtection="1">
      <alignment horizontal="center" vertical="center"/>
      <protection locked="0"/>
    </xf>
    <xf numFmtId="0" fontId="5" fillId="0" borderId="28"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0" fontId="5" fillId="0" borderId="46" xfId="0" applyFont="1" applyBorder="1" applyAlignment="1" applyProtection="1">
      <alignment horizontal="center" vertical="center"/>
      <protection locked="0"/>
    </xf>
    <xf numFmtId="0" fontId="4" fillId="0" borderId="4" xfId="0" applyFont="1" applyBorder="1" applyAlignment="1" applyProtection="1">
      <alignment vertical="center"/>
      <protection locked="0"/>
    </xf>
    <xf numFmtId="0" fontId="4" fillId="0" borderId="5" xfId="0" applyFont="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0" borderId="10" xfId="0" applyFont="1" applyBorder="1" applyAlignment="1" applyProtection="1">
      <alignment vertical="center"/>
      <protection locked="0"/>
    </xf>
    <xf numFmtId="178" fontId="5" fillId="0" borderId="35" xfId="0" applyNumberFormat="1" applyFont="1" applyBorder="1" applyAlignment="1" applyProtection="1">
      <alignment horizontal="center" vertical="center"/>
      <protection locked="0"/>
    </xf>
    <xf numFmtId="178" fontId="5" fillId="0" borderId="13" xfId="0" applyNumberFormat="1"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176" fontId="4" fillId="0" borderId="28" xfId="0" applyNumberFormat="1" applyFont="1" applyBorder="1" applyAlignment="1" applyProtection="1">
      <alignment horizontal="center"/>
      <protection locked="0"/>
    </xf>
    <xf numFmtId="0" fontId="5" fillId="0" borderId="43" xfId="0" applyFont="1" applyBorder="1" applyAlignment="1" applyProtection="1">
      <alignment horizontal="center" vertical="center" wrapText="1"/>
      <protection locked="0"/>
    </xf>
    <xf numFmtId="0" fontId="5" fillId="0" borderId="18" xfId="0" applyFont="1" applyBorder="1" applyAlignment="1" applyProtection="1">
      <alignment horizontal="center" vertical="center" wrapText="1"/>
      <protection locked="0"/>
    </xf>
    <xf numFmtId="185" fontId="4" fillId="0" borderId="44" xfId="0" applyNumberFormat="1" applyFont="1" applyBorder="1" applyAlignment="1" applyProtection="1">
      <alignment horizontal="center"/>
      <protection locked="0"/>
    </xf>
    <xf numFmtId="185" fontId="4" fillId="0" borderId="15" xfId="0" applyNumberFormat="1" applyFont="1" applyBorder="1" applyAlignment="1" applyProtection="1">
      <alignment horizontal="center"/>
      <protection locked="0"/>
    </xf>
    <xf numFmtId="185" fontId="4" fillId="0" borderId="52" xfId="0" applyNumberFormat="1" applyFont="1" applyBorder="1" applyAlignment="1" applyProtection="1">
      <alignment horizontal="center"/>
      <protection locked="0"/>
    </xf>
    <xf numFmtId="0" fontId="4" fillId="0" borderId="33" xfId="0" applyFont="1" applyBorder="1" applyAlignment="1" applyProtection="1">
      <alignment horizontal="center"/>
      <protection locked="0"/>
    </xf>
    <xf numFmtId="0" fontId="4" fillId="0" borderId="50" xfId="0" quotePrefix="1" applyFont="1" applyBorder="1" applyAlignment="1" applyProtection="1">
      <alignment horizontal="center"/>
      <protection locked="0"/>
    </xf>
    <xf numFmtId="185" fontId="4" fillId="0" borderId="47" xfId="0" applyNumberFormat="1" applyFont="1" applyBorder="1" applyAlignment="1" applyProtection="1">
      <alignment horizontal="center"/>
      <protection locked="0"/>
    </xf>
    <xf numFmtId="0" fontId="4" fillId="0" borderId="47" xfId="0" quotePrefix="1" applyFont="1" applyBorder="1" applyAlignment="1" applyProtection="1">
      <alignment horizontal="center"/>
      <protection locked="0"/>
    </xf>
    <xf numFmtId="184" fontId="4" fillId="0" borderId="44" xfId="0" applyNumberFormat="1" applyFont="1" applyBorder="1" applyAlignment="1" applyProtection="1">
      <alignment horizontal="center"/>
      <protection locked="0"/>
    </xf>
    <xf numFmtId="184" fontId="4" fillId="0" borderId="15" xfId="0" applyNumberFormat="1" applyFont="1" applyBorder="1" applyAlignment="1" applyProtection="1">
      <alignment horizontal="center"/>
      <protection locked="0"/>
    </xf>
    <xf numFmtId="184" fontId="4" fillId="0" borderId="52" xfId="0" applyNumberFormat="1" applyFont="1" applyBorder="1" applyAlignment="1" applyProtection="1">
      <alignment horizontal="center"/>
      <protection locked="0"/>
    </xf>
    <xf numFmtId="0" fontId="4" fillId="0" borderId="25" xfId="0" quotePrefix="1" applyFont="1" applyBorder="1" applyAlignment="1" applyProtection="1">
      <alignment horizontal="center"/>
      <protection locked="0"/>
    </xf>
    <xf numFmtId="183" fontId="4" fillId="3" borderId="52" xfId="0" applyNumberFormat="1" applyFont="1" applyFill="1" applyBorder="1" applyAlignment="1" applyProtection="1">
      <alignment horizontal="center"/>
    </xf>
    <xf numFmtId="185" fontId="4" fillId="0" borderId="38" xfId="0" applyNumberFormat="1" applyFont="1" applyBorder="1" applyAlignment="1" applyProtection="1">
      <alignment horizontal="center"/>
      <protection locked="0"/>
    </xf>
    <xf numFmtId="0" fontId="4" fillId="0" borderId="9" xfId="0" quotePrefix="1" applyFont="1" applyBorder="1" applyAlignment="1" applyProtection="1">
      <alignment horizontal="center"/>
      <protection locked="0"/>
    </xf>
    <xf numFmtId="187" fontId="0" fillId="0" borderId="0" xfId="0" applyNumberFormat="1" applyFill="1" applyBorder="1" applyAlignment="1">
      <alignment horizontal="center" vertical="center"/>
    </xf>
    <xf numFmtId="187" fontId="0" fillId="0" borderId="0" xfId="0" applyNumberFormat="1" applyBorder="1"/>
    <xf numFmtId="49" fontId="15" fillId="0" borderId="28" xfId="0" quotePrefix="1" applyNumberFormat="1" applyFont="1" applyFill="1" applyBorder="1" applyAlignment="1" applyProtection="1">
      <alignment horizontal="left" vertical="center"/>
    </xf>
  </cellXfs>
  <cellStyles count="5">
    <cellStyle name="標準" xfId="0" builtinId="0"/>
    <cellStyle name="標準 2" xfId="4"/>
    <cellStyle name="標準 4" xfId="3"/>
    <cellStyle name="標準_Schedule 1 vol.2_2010_Jan" xfId="2"/>
    <cellStyle name="標準_ピペット_HGQC1308計算ｼｰﾄ1"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6" Type="http://schemas.openxmlformats.org/officeDocument/2006/relationships/image" Target="../media/image16.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0</xdr:row>
      <xdr:rowOff>66675</xdr:rowOff>
    </xdr:from>
    <xdr:to>
      <xdr:col>5</xdr:col>
      <xdr:colOff>342900</xdr:colOff>
      <xdr:row>2</xdr:row>
      <xdr:rowOff>161925</xdr:rowOff>
    </xdr:to>
    <xdr:pic>
      <xdr:nvPicPr>
        <xdr:cNvPr id="2"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66675"/>
          <a:ext cx="15716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103135</xdr:colOff>
      <xdr:row>19</xdr:row>
      <xdr:rowOff>243689</xdr:rowOff>
    </xdr:from>
    <xdr:to>
      <xdr:col>22</xdr:col>
      <xdr:colOff>288226</xdr:colOff>
      <xdr:row>37</xdr:row>
      <xdr:rowOff>112815</xdr:rowOff>
    </xdr:to>
    <xdr:grpSp>
      <xdr:nvGrpSpPr>
        <xdr:cNvPr id="3" name="グループ化 2"/>
        <xdr:cNvGrpSpPr/>
      </xdr:nvGrpSpPr>
      <xdr:grpSpPr>
        <a:xfrm>
          <a:off x="750835" y="4225139"/>
          <a:ext cx="7795566" cy="3621976"/>
          <a:chOff x="71917" y="2152810"/>
          <a:chExt cx="6452708" cy="2609689"/>
        </a:xfrm>
      </xdr:grpSpPr>
      <xdr:grpSp>
        <xdr:nvGrpSpPr>
          <xdr:cNvPr id="4" name="グループ化 3"/>
          <xdr:cNvGrpSpPr/>
        </xdr:nvGrpSpPr>
        <xdr:grpSpPr>
          <a:xfrm>
            <a:off x="71917" y="2152810"/>
            <a:ext cx="6381570" cy="2609689"/>
            <a:chOff x="71917" y="2152810"/>
            <a:chExt cx="6381570" cy="2609689"/>
          </a:xfrm>
        </xdr:grpSpPr>
        <xdr:sp macro="" textlink="">
          <xdr:nvSpPr>
            <xdr:cNvPr id="9" name="角丸四角形 8"/>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 name="角丸四角形 9"/>
            <xdr:cNvSpPr/>
          </xdr:nvSpPr>
          <xdr:spPr>
            <a:xfrm>
              <a:off x="885825" y="2238376"/>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1" name="角丸四角形 10"/>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12" name="右矢印吹き出し 11"/>
            <xdr:cNvSpPr/>
          </xdr:nvSpPr>
          <xdr:spPr>
            <a:xfrm>
              <a:off x="71919" y="2152810"/>
              <a:ext cx="901525"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印字部</a:t>
              </a:r>
            </a:p>
          </xdr:txBody>
        </xdr:sp>
        <xdr:sp macro="" textlink="">
          <xdr:nvSpPr>
            <xdr:cNvPr id="13" name="角丸四角形 12"/>
            <xdr:cNvSpPr/>
          </xdr:nvSpPr>
          <xdr:spPr>
            <a:xfrm>
              <a:off x="4158200" y="2216835"/>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4" name="右矢印吹き出し 13"/>
            <xdr:cNvSpPr/>
          </xdr:nvSpPr>
          <xdr:spPr>
            <a:xfrm>
              <a:off x="71917" y="2464658"/>
              <a:ext cx="912736"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手書き部</a:t>
              </a:r>
            </a:p>
          </xdr:txBody>
        </xdr:sp>
      </xdr:grpSp>
      <xdr:grpSp>
        <xdr:nvGrpSpPr>
          <xdr:cNvPr id="5" name="グループ化 4"/>
          <xdr:cNvGrpSpPr/>
        </xdr:nvGrpSpPr>
        <xdr:grpSpPr>
          <a:xfrm>
            <a:off x="86541" y="2209800"/>
            <a:ext cx="6438084" cy="2552699"/>
            <a:chOff x="-3151959" y="2209800"/>
            <a:chExt cx="6438084" cy="2552699"/>
          </a:xfrm>
        </xdr:grpSpPr>
        <xdr:sp macro="" textlink="">
          <xdr:nvSpPr>
            <xdr:cNvPr id="6" name="角丸四角形 5"/>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 name="角丸四角形 6"/>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8" name="右矢印吹き出し 7"/>
            <xdr:cNvSpPr/>
          </xdr:nvSpPr>
          <xdr:spPr>
            <a:xfrm>
              <a:off x="-3151959" y="3479466"/>
              <a:ext cx="2098630" cy="353823"/>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a:solidFill>
                    <a:sysClr val="windowText" lastClr="000000"/>
                  </a:solidFill>
                </a:rPr>
                <a:t>印字部</a:t>
              </a:r>
            </a:p>
          </xdr:txBody>
        </xdr:sp>
      </xdr:grpSp>
    </xdr:grpSp>
    <xdr:clientData/>
  </xdr:twoCellAnchor>
  <mc:AlternateContent xmlns:mc="http://schemas.openxmlformats.org/markup-compatibility/2006">
    <mc:Choice xmlns:a14="http://schemas.microsoft.com/office/drawing/2010/main" Requires="a14">
      <xdr:twoCellAnchor>
        <xdr:from>
          <xdr:col>25</xdr:col>
          <xdr:colOff>0</xdr:colOff>
          <xdr:row>1</xdr:row>
          <xdr:rowOff>133350</xdr:rowOff>
        </xdr:from>
        <xdr:to>
          <xdr:col>26</xdr:col>
          <xdr:colOff>266700</xdr:colOff>
          <xdr:row>6</xdr:row>
          <xdr:rowOff>9525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7</xdr:row>
          <xdr:rowOff>47625</xdr:rowOff>
        </xdr:from>
        <xdr:to>
          <xdr:col>26</xdr:col>
          <xdr:colOff>342900</xdr:colOff>
          <xdr:row>11</xdr:row>
          <xdr:rowOff>104775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171450</xdr:colOff>
          <xdr:row>2</xdr:row>
          <xdr:rowOff>19050</xdr:rowOff>
        </xdr:from>
        <xdr:to>
          <xdr:col>30</xdr:col>
          <xdr:colOff>76200</xdr:colOff>
          <xdr:row>6</xdr:row>
          <xdr:rowOff>104775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13</xdr:row>
          <xdr:rowOff>0</xdr:rowOff>
        </xdr:from>
        <xdr:to>
          <xdr:col>26</xdr:col>
          <xdr:colOff>381000</xdr:colOff>
          <xdr:row>16</xdr:row>
          <xdr:rowOff>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台帳更新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16</xdr:row>
          <xdr:rowOff>0</xdr:rowOff>
        </xdr:from>
        <xdr:to>
          <xdr:col>8</xdr:col>
          <xdr:colOff>0</xdr:colOff>
          <xdr:row>17</xdr:row>
          <xdr:rowOff>0</xdr:rowOff>
        </xdr:to>
        <xdr:sp macro="" textlink="">
          <xdr:nvSpPr>
            <xdr:cNvPr id="2055" name="NoAbnormalityCheckBox"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16</xdr:row>
          <xdr:rowOff>0</xdr:rowOff>
        </xdr:from>
        <xdr:to>
          <xdr:col>11</xdr:col>
          <xdr:colOff>0</xdr:colOff>
          <xdr:row>17</xdr:row>
          <xdr:rowOff>0</xdr:rowOff>
        </xdr:to>
        <xdr:sp macro="" textlink="">
          <xdr:nvSpPr>
            <xdr:cNvPr id="2057" name="AbnormalityCheckBox"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85725</xdr:colOff>
          <xdr:row>16</xdr:row>
          <xdr:rowOff>0</xdr:rowOff>
        </xdr:from>
        <xdr:to>
          <xdr:col>21</xdr:col>
          <xdr:colOff>66675</xdr:colOff>
          <xdr:row>17</xdr:row>
          <xdr:rowOff>0</xdr:rowOff>
        </xdr:to>
        <xdr:sp macro="" textlink="">
          <xdr:nvSpPr>
            <xdr:cNvPr id="2058" name="NoLeakCheckBox"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16</xdr:row>
          <xdr:rowOff>0</xdr:rowOff>
        </xdr:from>
        <xdr:to>
          <xdr:col>23</xdr:col>
          <xdr:colOff>133350</xdr:colOff>
          <xdr:row>17</xdr:row>
          <xdr:rowOff>0</xdr:rowOff>
        </xdr:to>
        <xdr:sp macro="" textlink="">
          <xdr:nvSpPr>
            <xdr:cNvPr id="2059" name="LeakCheckBox" hidden="1">
              <a:extLst>
                <a:ext uri="{63B3BB69-23CF-44E3-9099-C40C66FF867C}">
                  <a14:compatExt spid="_x0000_s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0</xdr:rowOff>
        </xdr:from>
        <xdr:to>
          <xdr:col>6</xdr:col>
          <xdr:colOff>0</xdr:colOff>
          <xdr:row>19</xdr:row>
          <xdr:rowOff>0</xdr:rowOff>
        </xdr:to>
        <xdr:sp macro="" textlink="">
          <xdr:nvSpPr>
            <xdr:cNvPr id="2060" name="UnDegradationCheckBox" hidden="1">
              <a:extLst>
                <a:ext uri="{63B3BB69-23CF-44E3-9099-C40C66FF867C}">
                  <a14:compatExt spid="_x0000_s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18</xdr:row>
          <xdr:rowOff>0</xdr:rowOff>
        </xdr:from>
        <xdr:to>
          <xdr:col>8</xdr:col>
          <xdr:colOff>171450</xdr:colOff>
          <xdr:row>19</xdr:row>
          <xdr:rowOff>0</xdr:rowOff>
        </xdr:to>
        <xdr:sp macro="" textlink="">
          <xdr:nvSpPr>
            <xdr:cNvPr id="2061" name="DisassemblyCleaningCheckBox" hidden="1">
              <a:extLst>
                <a:ext uri="{63B3BB69-23CF-44E3-9099-C40C66FF867C}">
                  <a14:compatExt spid="_x0000_s2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18</xdr:row>
          <xdr:rowOff>0</xdr:rowOff>
        </xdr:from>
        <xdr:to>
          <xdr:col>11</xdr:col>
          <xdr:colOff>295275</xdr:colOff>
          <xdr:row>19</xdr:row>
          <xdr:rowOff>0</xdr:rowOff>
        </xdr:to>
        <xdr:sp macro="" textlink="">
          <xdr:nvSpPr>
            <xdr:cNvPr id="2063" name="TeflonSealCheckBox" hidden="1">
              <a:extLst>
                <a:ext uri="{63B3BB69-23CF-44E3-9099-C40C66FF867C}">
                  <a14:compatExt spid="_x0000_s2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xdr:row>
          <xdr:rowOff>0</xdr:rowOff>
        </xdr:from>
        <xdr:to>
          <xdr:col>14</xdr:col>
          <xdr:colOff>142875</xdr:colOff>
          <xdr:row>19</xdr:row>
          <xdr:rowOff>0</xdr:rowOff>
        </xdr:to>
        <xdr:sp macro="" textlink="">
          <xdr:nvSpPr>
            <xdr:cNvPr id="2064" name="ORingCheckBox" hidden="1">
              <a:extLst>
                <a:ext uri="{63B3BB69-23CF-44E3-9099-C40C66FF867C}">
                  <a14:compatExt spid="_x0000_s2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228600</xdr:colOff>
          <xdr:row>18</xdr:row>
          <xdr:rowOff>0</xdr:rowOff>
        </xdr:from>
        <xdr:to>
          <xdr:col>18</xdr:col>
          <xdr:colOff>0</xdr:colOff>
          <xdr:row>19</xdr:row>
          <xdr:rowOff>0</xdr:rowOff>
        </xdr:to>
        <xdr:sp macro="" textlink="">
          <xdr:nvSpPr>
            <xdr:cNvPr id="2067" name="OtherCheckBox" hidden="1">
              <a:extLst>
                <a:ext uri="{63B3BB69-23CF-44E3-9099-C40C66FF867C}">
                  <a14:compatExt spid="_x0000_s2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209550</xdr:rowOff>
        </xdr:from>
        <xdr:to>
          <xdr:col>23</xdr:col>
          <xdr:colOff>409575</xdr:colOff>
          <xdr:row>18</xdr:row>
          <xdr:rowOff>209550</xdr:rowOff>
        </xdr:to>
        <xdr:sp macro="" textlink="">
          <xdr:nvSpPr>
            <xdr:cNvPr id="2068" name="AfterNoLeakCheckBox" hidden="1">
              <a:extLst>
                <a:ext uri="{63B3BB69-23CF-44E3-9099-C40C66FF867C}">
                  <a14:compatExt spid="_x0000_s2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0</xdr:rowOff>
        </xdr:from>
        <xdr:to>
          <xdr:col>24</xdr:col>
          <xdr:colOff>0</xdr:colOff>
          <xdr:row>17</xdr:row>
          <xdr:rowOff>266700</xdr:rowOff>
        </xdr:to>
        <xdr:sp macro="" textlink="">
          <xdr:nvSpPr>
            <xdr:cNvPr id="2070" name="AfterLeakCheckBox" hidden="1">
              <a:extLst>
                <a:ext uri="{63B3BB69-23CF-44E3-9099-C40C66FF867C}">
                  <a14:compatExt spid="_x0000_s2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133350</xdr:colOff>
          <xdr:row>18</xdr:row>
          <xdr:rowOff>66675</xdr:rowOff>
        </xdr:from>
        <xdr:to>
          <xdr:col>24</xdr:col>
          <xdr:colOff>0</xdr:colOff>
          <xdr:row>19</xdr:row>
          <xdr:rowOff>0</xdr:rowOff>
        </xdr:to>
        <xdr:sp macro="" textlink="">
          <xdr:nvSpPr>
            <xdr:cNvPr id="2071" name="AfterNotCoveredCheckBox" hidden="1">
              <a:extLst>
                <a:ext uri="{63B3BB69-23CF-44E3-9099-C40C66FF867C}">
                  <a14:compatExt spid="_x0000_s20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63</xdr:row>
          <xdr:rowOff>0</xdr:rowOff>
        </xdr:from>
        <xdr:to>
          <xdr:col>6</xdr:col>
          <xdr:colOff>0</xdr:colOff>
          <xdr:row>63</xdr:row>
          <xdr:rowOff>314325</xdr:rowOff>
        </xdr:to>
        <xdr:sp macro="" textlink="">
          <xdr:nvSpPr>
            <xdr:cNvPr id="2072" name="PassCheckBox" hidden="1">
              <a:extLst>
                <a:ext uri="{63B3BB69-23CF-44E3-9099-C40C66FF867C}">
                  <a14:compatExt spid="_x0000_s2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63</xdr:row>
          <xdr:rowOff>209550</xdr:rowOff>
        </xdr:from>
        <xdr:to>
          <xdr:col>5</xdr:col>
          <xdr:colOff>638175</xdr:colOff>
          <xdr:row>64</xdr:row>
          <xdr:rowOff>142875</xdr:rowOff>
        </xdr:to>
        <xdr:sp macro="" textlink="">
          <xdr:nvSpPr>
            <xdr:cNvPr id="2073" name="WarningCheckBox" hidden="1">
              <a:extLst>
                <a:ext uri="{63B3BB69-23CF-44E3-9099-C40C66FF867C}">
                  <a14:compatExt spid="_x0000_s2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64</xdr:row>
          <xdr:rowOff>66675</xdr:rowOff>
        </xdr:from>
        <xdr:to>
          <xdr:col>6</xdr:col>
          <xdr:colOff>0</xdr:colOff>
          <xdr:row>65</xdr:row>
          <xdr:rowOff>0</xdr:rowOff>
        </xdr:to>
        <xdr:sp macro="" textlink="">
          <xdr:nvSpPr>
            <xdr:cNvPr id="2074" name="FailureCheckBox" hidden="1">
              <a:extLst>
                <a:ext uri="{63B3BB69-23CF-44E3-9099-C40C66FF867C}">
                  <a14:compatExt spid="_x0000_s2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142875</xdr:colOff>
          <xdr:row>17</xdr:row>
          <xdr:rowOff>0</xdr:rowOff>
        </xdr:from>
        <xdr:to>
          <xdr:col>18</xdr:col>
          <xdr:colOff>0</xdr:colOff>
          <xdr:row>18</xdr:row>
          <xdr:rowOff>0</xdr:rowOff>
        </xdr:to>
        <xdr:sp macro="" textlink="">
          <xdr:nvSpPr>
            <xdr:cNvPr id="2088" name="NotCoveredCheckBox" hidden="1">
              <a:extLst>
                <a:ext uri="{63B3BB69-23CF-44E3-9099-C40C66FF867C}">
                  <a14:compatExt spid="_x0000_s208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trlProp" Target="../ctrlProps/ctrlProp4.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trlProp" Target="../ctrlProps/ctrlProp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35"/>
  <sheetViews>
    <sheetView topLeftCell="C1" zoomScaleNormal="100" workbookViewId="0">
      <selection activeCell="H12" sqref="H12"/>
    </sheetView>
  </sheetViews>
  <sheetFormatPr defaultRowHeight="13.5"/>
  <cols>
    <col min="1" max="1" width="11" bestFit="1" customWidth="1"/>
    <col min="2" max="2" width="28.75" bestFit="1" customWidth="1"/>
    <col min="3" max="4" width="14.875" bestFit="1" customWidth="1"/>
    <col min="5" max="5" width="27.625" bestFit="1" customWidth="1"/>
    <col min="6" max="6" width="11.25" bestFit="1" customWidth="1"/>
    <col min="8" max="8" width="34.125" bestFit="1" customWidth="1"/>
    <col min="9" max="9" width="14.75" bestFit="1" customWidth="1"/>
    <col min="14" max="14" width="14.75" customWidth="1"/>
  </cols>
  <sheetData>
    <row r="1" spans="1:23" s="81" customFormat="1" ht="42.75">
      <c r="A1" s="69" t="s">
        <v>151</v>
      </c>
      <c r="B1" s="70" t="s">
        <v>192</v>
      </c>
      <c r="C1" s="71" t="s">
        <v>193</v>
      </c>
      <c r="D1" s="72" t="s">
        <v>194</v>
      </c>
      <c r="E1" s="73" t="s">
        <v>195</v>
      </c>
      <c r="F1" s="74" t="s">
        <v>196</v>
      </c>
      <c r="G1" s="75" t="s">
        <v>197</v>
      </c>
      <c r="H1" s="71" t="s">
        <v>198</v>
      </c>
      <c r="I1" s="71" t="s">
        <v>199</v>
      </c>
      <c r="J1" s="71" t="s">
        <v>200</v>
      </c>
      <c r="K1" s="71" t="s">
        <v>201</v>
      </c>
      <c r="L1" s="71" t="s">
        <v>202</v>
      </c>
      <c r="M1" s="76" t="s">
        <v>203</v>
      </c>
      <c r="N1" s="71" t="s">
        <v>204</v>
      </c>
      <c r="O1" s="77" t="s">
        <v>205</v>
      </c>
      <c r="P1" s="76" t="s">
        <v>206</v>
      </c>
      <c r="Q1" s="74" t="s">
        <v>207</v>
      </c>
      <c r="R1" s="74" t="s">
        <v>208</v>
      </c>
      <c r="S1" s="78" t="s">
        <v>209</v>
      </c>
      <c r="T1" s="79" t="s">
        <v>209</v>
      </c>
      <c r="U1" s="80" t="s">
        <v>210</v>
      </c>
      <c r="V1" s="80" t="s">
        <v>142</v>
      </c>
      <c r="W1" s="80" t="s">
        <v>142</v>
      </c>
    </row>
    <row r="2" spans="1:23" s="81" customFormat="1" ht="14.25">
      <c r="A2" s="86" t="s">
        <v>181</v>
      </c>
      <c r="B2" s="86"/>
      <c r="C2" s="87" t="s">
        <v>191</v>
      </c>
      <c r="D2" s="88" t="s">
        <v>211</v>
      </c>
      <c r="E2" s="89"/>
      <c r="F2" s="90" t="s">
        <v>182</v>
      </c>
      <c r="G2" s="90" t="s">
        <v>212</v>
      </c>
      <c r="H2" s="87" t="s">
        <v>183</v>
      </c>
      <c r="I2" s="87" t="s">
        <v>213</v>
      </c>
      <c r="J2" s="296" t="s">
        <v>214</v>
      </c>
      <c r="K2" s="87" t="s">
        <v>215</v>
      </c>
      <c r="L2" s="91" t="s">
        <v>216</v>
      </c>
      <c r="M2" s="91" t="s">
        <v>184</v>
      </c>
      <c r="N2" s="87" t="s">
        <v>185</v>
      </c>
      <c r="O2" s="90">
        <v>6060</v>
      </c>
      <c r="P2" s="87" t="s">
        <v>186</v>
      </c>
      <c r="Q2" s="92" t="s">
        <v>152</v>
      </c>
      <c r="R2" s="92" t="s">
        <v>187</v>
      </c>
      <c r="S2" s="92" t="s">
        <v>190</v>
      </c>
      <c r="T2" s="93" t="s">
        <v>217</v>
      </c>
    </row>
    <row r="4" spans="1:23">
      <c r="A4" t="s">
        <v>22</v>
      </c>
      <c r="B4" t="s">
        <v>28</v>
      </c>
      <c r="E4" t="s">
        <v>29</v>
      </c>
      <c r="H4" t="s">
        <v>139</v>
      </c>
    </row>
    <row r="5" spans="1:23">
      <c r="A5" t="s">
        <v>23</v>
      </c>
      <c r="B5" t="s">
        <v>172</v>
      </c>
      <c r="C5" t="s">
        <v>12</v>
      </c>
      <c r="E5" t="s">
        <v>21</v>
      </c>
      <c r="F5" t="s">
        <v>12</v>
      </c>
      <c r="H5" t="s">
        <v>140</v>
      </c>
      <c r="I5" t="s">
        <v>12</v>
      </c>
    </row>
    <row r="6" spans="1:23">
      <c r="A6" t="s">
        <v>24</v>
      </c>
      <c r="B6" t="s">
        <v>13</v>
      </c>
      <c r="C6" t="s">
        <v>133</v>
      </c>
      <c r="E6" t="s">
        <v>175</v>
      </c>
      <c r="F6" t="s">
        <v>177</v>
      </c>
      <c r="H6" t="s">
        <v>154</v>
      </c>
      <c r="I6" t="s">
        <v>156</v>
      </c>
    </row>
    <row r="7" spans="1:23">
      <c r="A7" t="s">
        <v>25</v>
      </c>
      <c r="B7" t="s">
        <v>14</v>
      </c>
      <c r="C7" s="67" t="s">
        <v>138</v>
      </c>
      <c r="E7" t="s">
        <v>176</v>
      </c>
      <c r="H7" t="s">
        <v>155</v>
      </c>
      <c r="I7" t="s">
        <v>149</v>
      </c>
    </row>
    <row r="8" spans="1:23">
      <c r="A8" t="s">
        <v>26</v>
      </c>
      <c r="B8" t="s">
        <v>170</v>
      </c>
      <c r="C8">
        <v>2</v>
      </c>
      <c r="E8" t="s">
        <v>15</v>
      </c>
      <c r="F8" t="s">
        <v>104</v>
      </c>
      <c r="H8" t="s">
        <v>178</v>
      </c>
      <c r="I8">
        <v>2</v>
      </c>
    </row>
    <row r="9" spans="1:23">
      <c r="A9" t="s">
        <v>27</v>
      </c>
      <c r="B9" t="s">
        <v>161</v>
      </c>
      <c r="C9" t="s">
        <v>119</v>
      </c>
      <c r="E9" t="s">
        <v>16</v>
      </c>
      <c r="F9" t="s">
        <v>105</v>
      </c>
      <c r="H9" t="s">
        <v>179</v>
      </c>
      <c r="I9" t="s">
        <v>145</v>
      </c>
    </row>
    <row r="10" spans="1:23">
      <c r="A10" t="s">
        <v>31</v>
      </c>
      <c r="B10" t="s">
        <v>160</v>
      </c>
      <c r="C10" t="s">
        <v>134</v>
      </c>
      <c r="E10" t="s">
        <v>17</v>
      </c>
      <c r="F10" t="s">
        <v>106</v>
      </c>
      <c r="H10" t="s">
        <v>141</v>
      </c>
      <c r="I10" t="s">
        <v>146</v>
      </c>
    </row>
    <row r="11" spans="1:23">
      <c r="B11" t="s">
        <v>163</v>
      </c>
      <c r="C11" s="68" t="s">
        <v>135</v>
      </c>
      <c r="E11" t="s">
        <v>30</v>
      </c>
      <c r="F11" t="s">
        <v>108</v>
      </c>
      <c r="H11" t="s">
        <v>157</v>
      </c>
      <c r="I11" t="s">
        <v>120</v>
      </c>
    </row>
    <row r="12" spans="1:23">
      <c r="B12" t="s">
        <v>167</v>
      </c>
      <c r="C12" s="68" t="s">
        <v>171</v>
      </c>
      <c r="E12" t="s">
        <v>18</v>
      </c>
      <c r="F12" t="s">
        <v>107</v>
      </c>
      <c r="H12" t="s">
        <v>159</v>
      </c>
      <c r="I12" t="s">
        <v>147</v>
      </c>
    </row>
    <row r="13" spans="1:23">
      <c r="B13" t="s">
        <v>164</v>
      </c>
      <c r="C13" s="68" t="s">
        <v>136</v>
      </c>
      <c r="E13" t="s">
        <v>116</v>
      </c>
      <c r="F13" t="s">
        <v>109</v>
      </c>
      <c r="H13" t="s">
        <v>158</v>
      </c>
      <c r="I13" t="s">
        <v>148</v>
      </c>
    </row>
    <row r="14" spans="1:23">
      <c r="B14" s="68" t="s">
        <v>168</v>
      </c>
      <c r="C14" s="68" t="s">
        <v>137</v>
      </c>
      <c r="E14" t="s">
        <v>117</v>
      </c>
      <c r="F14" t="s">
        <v>110</v>
      </c>
      <c r="H14" t="s">
        <v>143</v>
      </c>
    </row>
    <row r="15" spans="1:23">
      <c r="B15" t="s">
        <v>174</v>
      </c>
      <c r="C15" s="68" t="s">
        <v>153</v>
      </c>
      <c r="E15" t="s">
        <v>19</v>
      </c>
      <c r="F15" t="s">
        <v>111</v>
      </c>
    </row>
    <row r="16" spans="1:23">
      <c r="B16" t="s">
        <v>165</v>
      </c>
      <c r="C16" s="68" t="s">
        <v>150</v>
      </c>
      <c r="E16" t="s">
        <v>20</v>
      </c>
      <c r="F16" t="s">
        <v>112</v>
      </c>
    </row>
    <row r="17" spans="2:6">
      <c r="B17" s="68" t="s">
        <v>166</v>
      </c>
      <c r="C17" s="68" t="s">
        <v>169</v>
      </c>
      <c r="E17" t="s">
        <v>32</v>
      </c>
      <c r="F17" t="s">
        <v>118</v>
      </c>
    </row>
    <row r="18" spans="2:6">
      <c r="B18" t="s">
        <v>162</v>
      </c>
      <c r="C18" s="68" t="s">
        <v>173</v>
      </c>
      <c r="E18" t="s">
        <v>33</v>
      </c>
      <c r="F18" t="s">
        <v>113</v>
      </c>
    </row>
    <row r="19" spans="2:6">
      <c r="E19" t="s">
        <v>121</v>
      </c>
      <c r="F19" t="s">
        <v>124</v>
      </c>
    </row>
    <row r="20" spans="2:6">
      <c r="E20" t="s">
        <v>122</v>
      </c>
      <c r="F20" t="s">
        <v>123</v>
      </c>
    </row>
    <row r="21" spans="2:6">
      <c r="E21" t="s">
        <v>115</v>
      </c>
      <c r="F21" t="s">
        <v>114</v>
      </c>
    </row>
    <row r="22" spans="2:6">
      <c r="E22" t="s">
        <v>128</v>
      </c>
      <c r="F22" t="s">
        <v>129</v>
      </c>
    </row>
    <row r="25" spans="2:6">
      <c r="B25" s="68"/>
      <c r="C25" s="68"/>
    </row>
    <row r="26" spans="2:6">
      <c r="B26" s="68"/>
      <c r="C26" s="68"/>
    </row>
    <row r="27" spans="2:6">
      <c r="B27" s="68"/>
      <c r="C27" s="68"/>
    </row>
    <row r="28" spans="2:6">
      <c r="B28" s="68"/>
      <c r="C28" s="68"/>
    </row>
    <row r="29" spans="2:6">
      <c r="B29" s="68"/>
      <c r="C29" s="68"/>
    </row>
    <row r="30" spans="2:6">
      <c r="B30" s="68"/>
      <c r="C30" s="68"/>
    </row>
    <row r="31" spans="2:6">
      <c r="B31" s="68"/>
      <c r="C31" s="68"/>
    </row>
    <row r="32" spans="2:6">
      <c r="B32" s="68"/>
      <c r="C32" s="68"/>
    </row>
    <row r="33" spans="2:3">
      <c r="B33" s="68"/>
      <c r="C33" s="68"/>
    </row>
    <row r="34" spans="2:3">
      <c r="B34" s="68"/>
      <c r="C34" s="68"/>
    </row>
    <row r="35" spans="2:3">
      <c r="B35" s="68"/>
      <c r="C35" s="68"/>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B48" sqref="B48"/>
    </sheetView>
  </sheetViews>
  <sheetFormatPr defaultRowHeight="13.5"/>
  <cols>
    <col min="1" max="1" width="9.5" style="82" bestFit="1" customWidth="1"/>
    <col min="2" max="2" width="14.875" style="83" bestFit="1" customWidth="1"/>
    <col min="3" max="3" width="14.875" style="295" bestFit="1" customWidth="1"/>
    <col min="4" max="4" width="14.875" style="83" bestFit="1" customWidth="1"/>
    <col min="5" max="5" width="19.875" style="82" customWidth="1"/>
  </cols>
  <sheetData>
    <row r="1" spans="1:5">
      <c r="A1" s="84" t="s">
        <v>11</v>
      </c>
      <c r="B1" s="85" t="s">
        <v>188</v>
      </c>
      <c r="C1" s="294" t="s">
        <v>189</v>
      </c>
      <c r="D1" s="85" t="s">
        <v>142</v>
      </c>
      <c r="E1" s="84" t="s">
        <v>144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6"/>
    <pageSetUpPr fitToPage="1"/>
  </sheetPr>
  <dimension ref="A1:AI75"/>
  <sheetViews>
    <sheetView tabSelected="1" view="pageBreakPreview" zoomScaleNormal="100" zoomScaleSheetLayoutView="100" workbookViewId="0">
      <selection activeCell="L13" sqref="L13:O13"/>
    </sheetView>
  </sheetViews>
  <sheetFormatPr defaultRowHeight="14.25"/>
  <cols>
    <col min="1" max="5" width="4.25" style="3" customWidth="1"/>
    <col min="6" max="6" width="8.625" style="3" customWidth="1"/>
    <col min="7" max="18" width="5" style="3" customWidth="1"/>
    <col min="19" max="23" width="4.625" style="3" customWidth="1"/>
    <col min="24" max="24" width="5.625" style="3" customWidth="1"/>
    <col min="25" max="25" width="3.875" style="3" customWidth="1"/>
    <col min="26" max="28" width="9" style="3"/>
    <col min="29" max="29" width="9.5" style="3" bestFit="1" customWidth="1"/>
    <col min="30" max="30" width="9.125" style="3" bestFit="1" customWidth="1"/>
    <col min="31" max="32" width="13" style="3" bestFit="1" customWidth="1"/>
    <col min="33" max="16384" width="9" style="3"/>
  </cols>
  <sheetData>
    <row r="1" spans="1:25" s="1" customFormat="1" ht="6" customHeight="1">
      <c r="A1" s="139"/>
      <c r="B1" s="140"/>
      <c r="C1" s="140"/>
      <c r="D1" s="140"/>
      <c r="E1" s="140"/>
      <c r="F1" s="140"/>
      <c r="G1" s="141"/>
      <c r="H1" s="147"/>
      <c r="I1" s="147"/>
      <c r="J1" s="22"/>
      <c r="K1" s="22"/>
      <c r="L1" s="22"/>
      <c r="M1" s="22"/>
      <c r="N1" s="22"/>
      <c r="O1" s="22"/>
      <c r="P1" s="22"/>
      <c r="Q1" s="22"/>
      <c r="R1" s="22"/>
      <c r="S1" s="23"/>
      <c r="T1" s="24"/>
      <c r="U1" s="24"/>
      <c r="V1" s="25"/>
      <c r="W1" s="25"/>
      <c r="X1" s="54"/>
      <c r="Y1" s="51"/>
    </row>
    <row r="2" spans="1:25" s="1" customFormat="1" ht="18" customHeight="1">
      <c r="A2" s="142"/>
      <c r="B2" s="143"/>
      <c r="C2" s="143"/>
      <c r="D2" s="143"/>
      <c r="E2" s="143"/>
      <c r="F2" s="143"/>
      <c r="G2" s="144"/>
      <c r="H2" s="148" t="s">
        <v>4</v>
      </c>
      <c r="I2" s="149"/>
      <c r="J2" s="149"/>
      <c r="K2" s="149"/>
      <c r="L2" s="149"/>
      <c r="M2" s="149"/>
      <c r="N2" s="149"/>
      <c r="O2" s="149"/>
      <c r="P2" s="149"/>
      <c r="Q2" s="149"/>
      <c r="R2" s="149"/>
      <c r="S2" s="149"/>
      <c r="T2" s="149"/>
      <c r="U2" s="149"/>
      <c r="V2" s="149"/>
      <c r="W2" s="149"/>
      <c r="X2" s="150"/>
      <c r="Y2" s="51"/>
    </row>
    <row r="3" spans="1:25" s="1" customFormat="1" ht="15" customHeight="1">
      <c r="A3" s="142"/>
      <c r="B3" s="143"/>
      <c r="C3" s="143"/>
      <c r="D3" s="143"/>
      <c r="E3" s="143"/>
      <c r="F3" s="143"/>
      <c r="G3" s="144"/>
      <c r="H3" s="148"/>
      <c r="I3" s="149"/>
      <c r="J3" s="149"/>
      <c r="K3" s="149"/>
      <c r="L3" s="149"/>
      <c r="M3" s="149"/>
      <c r="N3" s="149"/>
      <c r="O3" s="149"/>
      <c r="P3" s="149"/>
      <c r="Q3" s="149"/>
      <c r="R3" s="149"/>
      <c r="S3" s="149"/>
      <c r="T3" s="149"/>
      <c r="U3" s="149"/>
      <c r="V3" s="149"/>
      <c r="W3" s="149"/>
      <c r="X3" s="150"/>
      <c r="Y3" s="51"/>
    </row>
    <row r="4" spans="1:25" s="1" customFormat="1" ht="4.5" customHeight="1">
      <c r="A4" s="145"/>
      <c r="B4" s="146"/>
      <c r="C4" s="146"/>
      <c r="D4" s="146"/>
      <c r="E4" s="146"/>
      <c r="F4" s="146"/>
      <c r="G4" s="133"/>
      <c r="H4" s="26"/>
      <c r="I4" s="26"/>
      <c r="J4" s="26"/>
      <c r="K4" s="26"/>
      <c r="L4" s="26"/>
      <c r="M4" s="26"/>
      <c r="N4" s="26"/>
      <c r="O4" s="26"/>
      <c r="P4" s="26"/>
      <c r="Q4" s="26"/>
      <c r="R4" s="26"/>
      <c r="S4" s="26"/>
      <c r="T4" s="26"/>
      <c r="U4" s="26"/>
      <c r="V4" s="26"/>
      <c r="W4" s="26"/>
      <c r="X4" s="55"/>
      <c r="Y4" s="51"/>
    </row>
    <row r="5" spans="1:25" s="1" customFormat="1" ht="13.5" customHeight="1">
      <c r="A5" s="151" t="s">
        <v>38</v>
      </c>
      <c r="B5" s="152"/>
      <c r="C5" s="152"/>
      <c r="D5" s="152"/>
      <c r="E5" s="152"/>
      <c r="F5" s="152"/>
      <c r="G5" s="153"/>
      <c r="H5" s="160" t="s">
        <v>39</v>
      </c>
      <c r="I5" s="161"/>
      <c r="J5" s="161"/>
      <c r="K5" s="166" t="s">
        <v>40</v>
      </c>
      <c r="L5" s="166"/>
      <c r="M5" s="166"/>
      <c r="N5" s="166"/>
      <c r="O5" s="166"/>
      <c r="P5" s="166"/>
      <c r="Q5" s="166"/>
      <c r="R5" s="167"/>
      <c r="S5" s="172" t="s">
        <v>41</v>
      </c>
      <c r="T5" s="166"/>
      <c r="U5" s="166"/>
      <c r="V5" s="166"/>
      <c r="W5" s="166"/>
      <c r="X5" s="173"/>
      <c r="Y5" s="51"/>
    </row>
    <row r="6" spans="1:25" s="1" customFormat="1" ht="13.5" customHeight="1">
      <c r="A6" s="154"/>
      <c r="B6" s="155"/>
      <c r="C6" s="155"/>
      <c r="D6" s="155"/>
      <c r="E6" s="155"/>
      <c r="F6" s="155"/>
      <c r="G6" s="156"/>
      <c r="H6" s="162"/>
      <c r="I6" s="163"/>
      <c r="J6" s="163"/>
      <c r="K6" s="168"/>
      <c r="L6" s="168"/>
      <c r="M6" s="168"/>
      <c r="N6" s="168"/>
      <c r="O6" s="168"/>
      <c r="P6" s="168"/>
      <c r="Q6" s="168"/>
      <c r="R6" s="169"/>
      <c r="S6" s="174"/>
      <c r="T6" s="168"/>
      <c r="U6" s="168"/>
      <c r="V6" s="168"/>
      <c r="W6" s="168"/>
      <c r="X6" s="175"/>
      <c r="Y6" s="51"/>
    </row>
    <row r="7" spans="1:25" s="1" customFormat="1" ht="13.5" customHeight="1" thickBot="1">
      <c r="A7" s="157"/>
      <c r="B7" s="158"/>
      <c r="C7" s="158"/>
      <c r="D7" s="158"/>
      <c r="E7" s="158"/>
      <c r="F7" s="158"/>
      <c r="G7" s="159"/>
      <c r="H7" s="164"/>
      <c r="I7" s="165"/>
      <c r="J7" s="165"/>
      <c r="K7" s="170"/>
      <c r="L7" s="170"/>
      <c r="M7" s="170"/>
      <c r="N7" s="170"/>
      <c r="O7" s="170"/>
      <c r="P7" s="170"/>
      <c r="Q7" s="170"/>
      <c r="R7" s="171"/>
      <c r="S7" s="176"/>
      <c r="T7" s="170"/>
      <c r="U7" s="170"/>
      <c r="V7" s="170"/>
      <c r="W7" s="170"/>
      <c r="X7" s="177"/>
      <c r="Y7" s="51"/>
    </row>
    <row r="8" spans="1:25" s="1" customFormat="1" ht="4.5" customHeight="1">
      <c r="A8" s="56"/>
      <c r="B8" s="27"/>
      <c r="C8" s="27"/>
      <c r="D8" s="27"/>
      <c r="E8" s="27"/>
      <c r="F8" s="27"/>
      <c r="G8" s="27"/>
      <c r="H8" s="27"/>
      <c r="I8" s="27"/>
      <c r="J8" s="27"/>
      <c r="K8" s="27"/>
      <c r="L8" s="27"/>
      <c r="M8" s="27"/>
      <c r="N8" s="27"/>
      <c r="O8" s="27"/>
      <c r="P8" s="27"/>
      <c r="Q8" s="27"/>
      <c r="R8" s="27"/>
      <c r="S8" s="27"/>
      <c r="T8" s="27"/>
      <c r="U8" s="27"/>
      <c r="V8" s="27"/>
      <c r="W8" s="27"/>
      <c r="X8" s="57"/>
      <c r="Y8" s="51"/>
    </row>
    <row r="9" spans="1:25">
      <c r="A9" s="58"/>
      <c r="B9" s="28" t="s">
        <v>42</v>
      </c>
      <c r="C9" s="28"/>
      <c r="D9" s="28"/>
      <c r="E9" s="28"/>
      <c r="F9" s="28"/>
      <c r="G9" s="28"/>
      <c r="H9" s="28"/>
      <c r="I9" s="28"/>
      <c r="J9" s="28"/>
      <c r="K9" s="28"/>
      <c r="L9" s="28"/>
      <c r="M9" s="28"/>
      <c r="N9" s="28"/>
      <c r="O9" s="28"/>
      <c r="P9" s="28"/>
      <c r="Q9" s="28"/>
      <c r="R9" s="28"/>
      <c r="S9" s="28"/>
      <c r="T9" s="28"/>
      <c r="U9" s="29"/>
      <c r="V9" s="29"/>
      <c r="W9" s="29"/>
      <c r="X9" s="59"/>
      <c r="Y9" s="51"/>
    </row>
    <row r="10" spans="1:25">
      <c r="A10" s="58"/>
      <c r="B10" s="28" t="s">
        <v>10</v>
      </c>
      <c r="C10" s="28"/>
      <c r="D10" s="28"/>
      <c r="E10" s="28"/>
      <c r="F10" s="28"/>
      <c r="G10" s="28"/>
      <c r="H10" s="28"/>
      <c r="I10" s="28"/>
      <c r="J10" s="28"/>
      <c r="K10" s="28"/>
      <c r="L10" s="28"/>
      <c r="M10" s="28"/>
      <c r="N10" s="28"/>
      <c r="O10" s="28"/>
      <c r="P10" s="28"/>
      <c r="Q10" s="28"/>
      <c r="R10" s="28"/>
      <c r="S10" s="28"/>
      <c r="T10" s="28"/>
      <c r="U10" s="29"/>
      <c r="V10" s="29"/>
      <c r="W10" s="29"/>
      <c r="X10" s="59"/>
      <c r="Y10" s="51"/>
    </row>
    <row r="11" spans="1:25">
      <c r="A11" s="60"/>
      <c r="B11" s="61" t="s">
        <v>43</v>
      </c>
      <c r="C11" s="61"/>
      <c r="D11" s="61"/>
      <c r="E11" s="61"/>
      <c r="F11" s="61"/>
      <c r="G11" s="61"/>
      <c r="H11" s="61"/>
      <c r="I11" s="61"/>
      <c r="J11" s="61"/>
      <c r="K11" s="61"/>
      <c r="L11" s="61"/>
      <c r="M11" s="61"/>
      <c r="N11" s="61"/>
      <c r="O11" s="61"/>
      <c r="P11" s="61"/>
      <c r="Q11" s="61"/>
      <c r="R11" s="61"/>
      <c r="S11" s="61"/>
      <c r="T11" s="61"/>
      <c r="U11" s="31"/>
      <c r="V11" s="31"/>
      <c r="W11" s="31"/>
      <c r="X11" s="62"/>
    </row>
    <row r="12" spans="1:25" ht="15" thickBot="1">
      <c r="A12" s="60"/>
      <c r="B12" s="61"/>
      <c r="C12" s="61"/>
      <c r="D12" s="61"/>
      <c r="E12" s="61"/>
      <c r="F12" s="61"/>
      <c r="G12" s="61"/>
      <c r="H12" s="61"/>
      <c r="I12" s="61"/>
      <c r="J12" s="61"/>
      <c r="K12" s="61"/>
      <c r="L12" s="61"/>
      <c r="M12" s="61"/>
      <c r="N12" s="61"/>
      <c r="O12" s="61"/>
      <c r="P12" s="61"/>
      <c r="Q12" s="61"/>
      <c r="R12" s="61"/>
      <c r="S12" s="61"/>
      <c r="T12" s="61"/>
      <c r="U12" s="31"/>
      <c r="V12" s="31"/>
      <c r="W12" s="31"/>
      <c r="X12" s="62"/>
    </row>
    <row r="13" spans="1:25" ht="24.75" customHeight="1">
      <c r="A13" s="197" t="s">
        <v>44</v>
      </c>
      <c r="B13" s="198"/>
      <c r="C13" s="198"/>
      <c r="D13" s="198"/>
      <c r="E13" s="198"/>
      <c r="F13" s="199" t="s">
        <v>45</v>
      </c>
      <c r="G13" s="199"/>
      <c r="H13" s="199"/>
      <c r="I13" s="199"/>
      <c r="J13" s="199"/>
      <c r="K13" s="199"/>
      <c r="L13" s="198" t="s">
        <v>46</v>
      </c>
      <c r="M13" s="198"/>
      <c r="N13" s="198"/>
      <c r="O13" s="198"/>
      <c r="P13" s="200">
        <v>42709</v>
      </c>
      <c r="Q13" s="200"/>
      <c r="R13" s="200"/>
      <c r="S13" s="200"/>
      <c r="T13" s="200"/>
      <c r="U13" s="200"/>
      <c r="V13" s="200"/>
      <c r="W13" s="200"/>
      <c r="X13" s="201"/>
    </row>
    <row r="14" spans="1:25" ht="24.75" customHeight="1">
      <c r="A14" s="202" t="s">
        <v>47</v>
      </c>
      <c r="B14" s="203"/>
      <c r="C14" s="203"/>
      <c r="D14" s="203"/>
      <c r="E14" s="203"/>
      <c r="F14" s="204" t="s">
        <v>212</v>
      </c>
      <c r="G14" s="205"/>
      <c r="H14" s="205"/>
      <c r="I14" s="205"/>
      <c r="J14" s="205"/>
      <c r="K14" s="206"/>
      <c r="L14" s="203" t="s">
        <v>48</v>
      </c>
      <c r="M14" s="203"/>
      <c r="N14" s="203"/>
      <c r="O14" s="203"/>
      <c r="P14" s="204" t="s">
        <v>219</v>
      </c>
      <c r="Q14" s="205"/>
      <c r="R14" s="205"/>
      <c r="S14" s="205"/>
      <c r="T14" s="205"/>
      <c r="U14" s="205"/>
      <c r="V14" s="205"/>
      <c r="W14" s="205"/>
      <c r="X14" s="207"/>
    </row>
    <row r="15" spans="1:25" ht="24.75" customHeight="1" thickBot="1">
      <c r="A15" s="184" t="s">
        <v>49</v>
      </c>
      <c r="B15" s="185"/>
      <c r="C15" s="185"/>
      <c r="D15" s="185"/>
      <c r="E15" s="185"/>
      <c r="F15" s="186" t="s">
        <v>218</v>
      </c>
      <c r="G15" s="187"/>
      <c r="H15" s="187"/>
      <c r="I15" s="187"/>
      <c r="J15" s="187"/>
      <c r="K15" s="187"/>
      <c r="L15" s="188"/>
      <c r="M15" s="189"/>
      <c r="N15" s="189"/>
      <c r="O15" s="190"/>
      <c r="P15" s="188"/>
      <c r="Q15" s="189"/>
      <c r="R15" s="189"/>
      <c r="S15" s="189"/>
      <c r="T15" s="189"/>
      <c r="U15" s="189"/>
      <c r="V15" s="189"/>
      <c r="W15" s="189"/>
      <c r="X15" s="191"/>
    </row>
    <row r="16" spans="1:25" ht="3" customHeight="1" thickBot="1">
      <c r="A16" s="63"/>
      <c r="B16" s="32"/>
      <c r="C16" s="32"/>
      <c r="D16" s="32"/>
      <c r="E16" s="32"/>
      <c r="F16" s="32"/>
      <c r="G16" s="32"/>
      <c r="H16" s="32"/>
      <c r="I16" s="32"/>
      <c r="J16" s="32"/>
      <c r="K16" s="32"/>
      <c r="L16" s="32"/>
      <c r="M16" s="32"/>
      <c r="N16" s="32"/>
      <c r="O16" s="32"/>
      <c r="P16" s="32"/>
      <c r="Q16" s="32"/>
      <c r="R16" s="32"/>
      <c r="S16" s="32"/>
      <c r="T16" s="32"/>
      <c r="U16" s="32"/>
      <c r="V16" s="32"/>
      <c r="W16" s="32"/>
      <c r="X16" s="64"/>
    </row>
    <row r="17" spans="1:35" ht="30" customHeight="1" thickBot="1">
      <c r="A17" s="192" t="s">
        <v>50</v>
      </c>
      <c r="B17" s="193"/>
      <c r="C17" s="193"/>
      <c r="D17" s="194"/>
      <c r="E17" s="178"/>
      <c r="F17" s="179"/>
      <c r="G17" s="179"/>
      <c r="H17" s="179"/>
      <c r="I17" s="179"/>
      <c r="J17" s="179"/>
      <c r="K17" s="179"/>
      <c r="L17" s="179"/>
      <c r="M17" s="180"/>
      <c r="N17" s="195" t="s">
        <v>51</v>
      </c>
      <c r="O17" s="95"/>
      <c r="P17" s="95"/>
      <c r="Q17" s="196"/>
      <c r="R17" s="181"/>
      <c r="S17" s="182"/>
      <c r="T17" s="182"/>
      <c r="U17" s="182"/>
      <c r="V17" s="182"/>
      <c r="W17" s="182"/>
      <c r="X17" s="183"/>
      <c r="Z17" s="13"/>
      <c r="AA17" s="13"/>
    </row>
    <row r="18" spans="1:35" ht="30" customHeight="1">
      <c r="A18" s="208" t="s">
        <v>52</v>
      </c>
      <c r="B18" s="209"/>
      <c r="C18" s="209"/>
      <c r="D18" s="210"/>
      <c r="E18" s="103" t="s">
        <v>92</v>
      </c>
      <c r="F18" s="101"/>
      <c r="G18" s="101"/>
      <c r="H18" s="101"/>
      <c r="I18" s="104"/>
      <c r="J18" s="104"/>
      <c r="K18" s="104"/>
      <c r="L18" s="104"/>
      <c r="M18" s="104"/>
      <c r="N18" s="104"/>
      <c r="O18" s="101"/>
      <c r="P18" s="101"/>
      <c r="Q18" s="101"/>
      <c r="R18" s="102"/>
      <c r="S18" s="214" t="s">
        <v>53</v>
      </c>
      <c r="T18" s="215"/>
      <c r="U18" s="216"/>
      <c r="V18" s="94"/>
      <c r="W18" s="95"/>
      <c r="X18" s="96"/>
      <c r="Z18" s="7"/>
      <c r="AA18" s="7"/>
    </row>
    <row r="19" spans="1:35" ht="30" customHeight="1" thickBot="1">
      <c r="A19" s="211"/>
      <c r="B19" s="212"/>
      <c r="C19" s="185"/>
      <c r="D19" s="213"/>
      <c r="E19" s="186"/>
      <c r="F19" s="226"/>
      <c r="G19" s="227"/>
      <c r="H19" s="228"/>
      <c r="I19" s="228"/>
      <c r="J19" s="228"/>
      <c r="K19" s="228"/>
      <c r="L19" s="228"/>
      <c r="M19" s="228"/>
      <c r="N19" s="228"/>
      <c r="O19" s="228"/>
      <c r="P19" s="228"/>
      <c r="Q19" s="228"/>
      <c r="R19" s="229"/>
      <c r="S19" s="217"/>
      <c r="T19" s="218"/>
      <c r="U19" s="219"/>
      <c r="V19" s="97"/>
      <c r="W19" s="98"/>
      <c r="X19" s="99"/>
      <c r="Z19" s="14"/>
      <c r="AA19" s="14"/>
    </row>
    <row r="20" spans="1:35" ht="30" customHeight="1">
      <c r="A20" s="118" t="s">
        <v>94</v>
      </c>
      <c r="B20" s="119"/>
      <c r="C20" s="33"/>
      <c r="D20" s="34"/>
      <c r="E20" s="34"/>
      <c r="F20" s="34"/>
      <c r="G20" s="34"/>
      <c r="H20" s="34"/>
      <c r="I20" s="34"/>
      <c r="J20" s="34"/>
      <c r="K20" s="34"/>
      <c r="L20" s="34"/>
      <c r="M20" s="34"/>
      <c r="N20" s="34"/>
      <c r="O20" s="34"/>
      <c r="P20" s="34"/>
      <c r="Q20" s="34"/>
      <c r="R20" s="34"/>
      <c r="S20" s="34"/>
      <c r="T20" s="34"/>
      <c r="U20" s="34"/>
      <c r="V20" s="34"/>
      <c r="W20" s="34"/>
      <c r="X20" s="35"/>
      <c r="Z20" s="13" t="s">
        <v>34</v>
      </c>
      <c r="AA20" s="13"/>
      <c r="AC20" s="3" t="s">
        <v>99</v>
      </c>
    </row>
    <row r="21" spans="1:35">
      <c r="A21" s="120"/>
      <c r="B21" s="121"/>
      <c r="C21" s="36"/>
      <c r="D21" s="37"/>
      <c r="E21" s="38"/>
      <c r="F21" s="38"/>
      <c r="G21" s="37"/>
      <c r="H21" s="37"/>
      <c r="I21" s="37"/>
      <c r="J21" s="37"/>
      <c r="K21" s="37"/>
      <c r="L21" s="37"/>
      <c r="M21" s="37"/>
      <c r="N21" s="37"/>
      <c r="O21" s="39"/>
      <c r="P21" s="39"/>
      <c r="Q21" s="37"/>
      <c r="R21" s="37"/>
      <c r="S21" s="37"/>
      <c r="T21" s="37"/>
      <c r="U21" s="37"/>
      <c r="V21" s="37"/>
      <c r="W21" s="37"/>
      <c r="X21" s="40"/>
      <c r="Z21" s="7"/>
      <c r="AA21" s="7"/>
    </row>
    <row r="22" spans="1:35" ht="24">
      <c r="A22" s="120"/>
      <c r="B22" s="121"/>
      <c r="C22" s="36"/>
      <c r="D22" s="37"/>
      <c r="E22" s="38"/>
      <c r="F22" s="38"/>
      <c r="G22" s="41"/>
      <c r="H22" s="38"/>
      <c r="I22" s="38"/>
      <c r="J22" s="30"/>
      <c r="K22" s="42"/>
      <c r="L22" s="42"/>
      <c r="M22" s="42"/>
      <c r="N22" s="42"/>
      <c r="O22" s="43"/>
      <c r="P22" s="42"/>
      <c r="Q22" s="42"/>
      <c r="R22" s="42"/>
      <c r="S22" s="38"/>
      <c r="T22" s="38"/>
      <c r="U22" s="38"/>
      <c r="V22" s="38"/>
      <c r="W22" s="38"/>
      <c r="X22" s="44"/>
      <c r="Z22" s="114" t="s">
        <v>35</v>
      </c>
      <c r="AA22" s="114"/>
      <c r="AG22" s="13"/>
      <c r="AH22" s="13"/>
    </row>
    <row r="23" spans="1:35" ht="24.75" thickBot="1">
      <c r="A23" s="120"/>
      <c r="B23" s="121"/>
      <c r="C23" s="36"/>
      <c r="D23" s="37"/>
      <c r="E23" s="38"/>
      <c r="F23" s="38"/>
      <c r="G23" s="41"/>
      <c r="H23" s="38"/>
      <c r="I23" s="38"/>
      <c r="J23" s="38"/>
      <c r="K23" s="38"/>
      <c r="L23" s="38"/>
      <c r="M23" s="38"/>
      <c r="N23" s="38"/>
      <c r="O23" s="38"/>
      <c r="P23" s="38"/>
      <c r="Q23" s="38"/>
      <c r="R23" s="38"/>
      <c r="S23" s="38"/>
      <c r="T23" s="38"/>
      <c r="U23" s="38"/>
      <c r="V23" s="38"/>
      <c r="W23" s="38"/>
      <c r="X23" s="44"/>
      <c r="Z23" s="19" t="s">
        <v>36</v>
      </c>
      <c r="AA23" s="20" t="s">
        <v>37</v>
      </c>
      <c r="AG23" s="7"/>
      <c r="AH23" s="7"/>
    </row>
    <row r="24" spans="1:35" ht="24.75" thickTop="1">
      <c r="A24" s="120"/>
      <c r="B24" s="121"/>
      <c r="C24" s="36"/>
      <c r="D24" s="37"/>
      <c r="E24" s="38"/>
      <c r="F24" s="38"/>
      <c r="G24" s="41"/>
      <c r="H24" s="38"/>
      <c r="I24" s="38"/>
      <c r="J24" s="38"/>
      <c r="K24" s="38"/>
      <c r="L24" s="38"/>
      <c r="M24" s="38"/>
      <c r="N24" s="38"/>
      <c r="O24" s="38"/>
      <c r="P24" s="38"/>
      <c r="Q24" s="38"/>
      <c r="R24" s="38"/>
      <c r="S24" s="38"/>
      <c r="T24" s="38"/>
      <c r="U24" s="38"/>
      <c r="V24" s="38"/>
      <c r="W24" s="38"/>
      <c r="X24" s="44"/>
      <c r="Z24" s="17">
        <v>16</v>
      </c>
      <c r="AA24" s="18">
        <v>1.0021</v>
      </c>
      <c r="AG24" s="14"/>
      <c r="AH24" s="14"/>
    </row>
    <row r="25" spans="1:35" ht="13.5" customHeight="1">
      <c r="A25" s="120"/>
      <c r="B25" s="121"/>
      <c r="C25" s="36"/>
      <c r="D25" s="37"/>
      <c r="E25" s="38"/>
      <c r="F25" s="38"/>
      <c r="G25" s="38"/>
      <c r="H25" s="38"/>
      <c r="I25" s="38"/>
      <c r="J25" s="38"/>
      <c r="K25" s="38"/>
      <c r="L25" s="38"/>
      <c r="M25" s="38"/>
      <c r="N25" s="38"/>
      <c r="O25" s="38"/>
      <c r="P25" s="38"/>
      <c r="Q25" s="38"/>
      <c r="R25" s="38"/>
      <c r="S25" s="38"/>
      <c r="T25" s="38"/>
      <c r="U25" s="38"/>
      <c r="V25" s="38"/>
      <c r="W25" s="38"/>
      <c r="X25" s="44"/>
      <c r="Y25" s="52"/>
      <c r="Z25" s="16">
        <v>16.5</v>
      </c>
      <c r="AA25" s="15">
        <v>1.0022</v>
      </c>
      <c r="AG25" s="8"/>
      <c r="AH25" s="9"/>
    </row>
    <row r="26" spans="1:35" ht="13.5" customHeight="1">
      <c r="A26" s="120"/>
      <c r="B26" s="121"/>
      <c r="C26" s="36"/>
      <c r="D26" s="37"/>
      <c r="E26" s="38"/>
      <c r="F26" s="38"/>
      <c r="G26" s="38"/>
      <c r="H26" s="38"/>
      <c r="I26" s="38"/>
      <c r="J26" s="38"/>
      <c r="K26" s="38"/>
      <c r="L26" s="38"/>
      <c r="M26" s="38"/>
      <c r="N26" s="38"/>
      <c r="O26" s="38"/>
      <c r="P26" s="38"/>
      <c r="Q26" s="38"/>
      <c r="R26" s="38"/>
      <c r="S26" s="38"/>
      <c r="T26" s="38"/>
      <c r="U26" s="38"/>
      <c r="V26" s="38"/>
      <c r="W26" s="38"/>
      <c r="X26" s="44"/>
      <c r="Y26" s="7"/>
      <c r="Z26" s="16">
        <v>17</v>
      </c>
      <c r="AA26" s="15">
        <v>1.0023</v>
      </c>
      <c r="AG26" s="10"/>
      <c r="AH26" s="11"/>
    </row>
    <row r="27" spans="1:35" ht="13.5" customHeight="1">
      <c r="A27" s="120"/>
      <c r="B27" s="121"/>
      <c r="C27" s="36"/>
      <c r="D27" s="37"/>
      <c r="E27" s="38"/>
      <c r="F27" s="38"/>
      <c r="G27" s="45"/>
      <c r="H27" s="38"/>
      <c r="I27" s="38"/>
      <c r="J27" s="38"/>
      <c r="K27" s="38"/>
      <c r="L27" s="38"/>
      <c r="M27" s="45"/>
      <c r="N27" s="38"/>
      <c r="O27" s="38"/>
      <c r="P27" s="38"/>
      <c r="Q27" s="38"/>
      <c r="R27" s="38"/>
      <c r="S27" s="38"/>
      <c r="T27" s="38"/>
      <c r="U27" s="38"/>
      <c r="V27" s="38"/>
      <c r="W27" s="38"/>
      <c r="X27" s="44"/>
      <c r="Y27" s="53"/>
      <c r="Z27" s="16">
        <v>17.5</v>
      </c>
      <c r="AA27" s="15">
        <v>1.0024</v>
      </c>
      <c r="AG27" s="10"/>
      <c r="AH27" s="11"/>
    </row>
    <row r="28" spans="1:35" ht="13.5" customHeight="1">
      <c r="A28" s="120"/>
      <c r="B28" s="121"/>
      <c r="C28" s="36"/>
      <c r="D28" s="37"/>
      <c r="E28" s="38"/>
      <c r="F28" s="38"/>
      <c r="G28" s="45"/>
      <c r="H28" s="38"/>
      <c r="I28" s="38"/>
      <c r="J28" s="38"/>
      <c r="K28" s="38"/>
      <c r="L28" s="38"/>
      <c r="M28" s="38"/>
      <c r="N28" s="38"/>
      <c r="O28" s="38"/>
      <c r="P28" s="38"/>
      <c r="Q28" s="38"/>
      <c r="R28" s="38"/>
      <c r="S28" s="38"/>
      <c r="T28" s="38"/>
      <c r="U28" s="38"/>
      <c r="V28" s="38"/>
      <c r="W28" s="38"/>
      <c r="X28" s="44"/>
      <c r="Y28" s="8"/>
      <c r="Z28" s="16">
        <v>18</v>
      </c>
      <c r="AA28" s="15">
        <v>1.0024999999999999</v>
      </c>
      <c r="AF28" s="100" t="s">
        <v>77</v>
      </c>
      <c r="AG28" s="100"/>
      <c r="AH28" s="100"/>
      <c r="AI28" s="100"/>
    </row>
    <row r="29" spans="1:35" ht="13.5" customHeight="1">
      <c r="A29" s="120"/>
      <c r="B29" s="121"/>
      <c r="C29" s="36"/>
      <c r="D29" s="37"/>
      <c r="E29" s="38"/>
      <c r="F29" s="38"/>
      <c r="G29" s="45"/>
      <c r="H29" s="38"/>
      <c r="I29" s="38"/>
      <c r="J29" s="38"/>
      <c r="K29" s="38"/>
      <c r="L29" s="38"/>
      <c r="M29" s="38"/>
      <c r="N29" s="38"/>
      <c r="O29" s="38"/>
      <c r="P29" s="38"/>
      <c r="Q29" s="38"/>
      <c r="R29" s="38"/>
      <c r="S29" s="38"/>
      <c r="T29" s="38"/>
      <c r="U29" s="38"/>
      <c r="V29" s="38"/>
      <c r="W29" s="38"/>
      <c r="X29" s="44"/>
      <c r="Y29" s="10"/>
      <c r="Z29" s="16">
        <v>18.5</v>
      </c>
      <c r="AA29" s="15">
        <v>1.0025999999999999</v>
      </c>
      <c r="AF29" s="100" t="s">
        <v>78</v>
      </c>
      <c r="AG29" s="100"/>
      <c r="AH29" s="21" t="s">
        <v>87</v>
      </c>
      <c r="AI29" s="21" t="s">
        <v>88</v>
      </c>
    </row>
    <row r="30" spans="1:35" ht="13.5" customHeight="1">
      <c r="A30" s="120"/>
      <c r="B30" s="121"/>
      <c r="C30" s="36"/>
      <c r="D30" s="37"/>
      <c r="E30" s="38"/>
      <c r="F30" s="38"/>
      <c r="G30" s="38"/>
      <c r="H30" s="38"/>
      <c r="I30" s="38"/>
      <c r="J30" s="38"/>
      <c r="K30" s="38"/>
      <c r="L30" s="38"/>
      <c r="M30" s="38"/>
      <c r="N30" s="38"/>
      <c r="O30" s="38"/>
      <c r="P30" s="38"/>
      <c r="Q30" s="38"/>
      <c r="R30" s="38"/>
      <c r="S30" s="38"/>
      <c r="T30" s="38"/>
      <c r="U30" s="38"/>
      <c r="V30" s="38"/>
      <c r="W30" s="38"/>
      <c r="X30" s="44"/>
      <c r="Y30" s="10"/>
      <c r="Z30" s="16">
        <v>19</v>
      </c>
      <c r="AA30" s="15">
        <v>1.0026999999999999</v>
      </c>
      <c r="AF30" s="100" t="s">
        <v>82</v>
      </c>
      <c r="AG30" s="21" t="s">
        <v>75</v>
      </c>
      <c r="AH30" s="21" t="s">
        <v>83</v>
      </c>
      <c r="AI30" s="21" t="s">
        <v>89</v>
      </c>
    </row>
    <row r="31" spans="1:35" ht="13.5" customHeight="1">
      <c r="A31" s="120"/>
      <c r="B31" s="121"/>
      <c r="C31" s="36"/>
      <c r="D31" s="37"/>
      <c r="E31" s="38"/>
      <c r="F31" s="38"/>
      <c r="G31" s="38"/>
      <c r="H31" s="38"/>
      <c r="I31" s="38"/>
      <c r="J31" s="38"/>
      <c r="K31" s="38"/>
      <c r="L31" s="38"/>
      <c r="M31" s="38"/>
      <c r="N31" s="38"/>
      <c r="O31" s="38"/>
      <c r="P31" s="38"/>
      <c r="Q31" s="38"/>
      <c r="R31" s="38"/>
      <c r="S31" s="38"/>
      <c r="T31" s="38"/>
      <c r="U31" s="38"/>
      <c r="V31" s="38"/>
      <c r="W31" s="38"/>
      <c r="X31" s="44"/>
      <c r="Y31" s="10"/>
      <c r="Z31" s="16">
        <v>19.5</v>
      </c>
      <c r="AA31" s="15">
        <v>1.0027999999999999</v>
      </c>
      <c r="AC31" s="3" t="s">
        <v>101</v>
      </c>
      <c r="AF31" s="100"/>
      <c r="AG31" s="21" t="s">
        <v>80</v>
      </c>
      <c r="AH31" s="21" t="s">
        <v>84</v>
      </c>
      <c r="AI31" s="21" t="s">
        <v>84</v>
      </c>
    </row>
    <row r="32" spans="1:35" ht="13.5" customHeight="1">
      <c r="A32" s="120"/>
      <c r="B32" s="121"/>
      <c r="C32" s="36"/>
      <c r="D32" s="37"/>
      <c r="E32" s="38"/>
      <c r="F32" s="38"/>
      <c r="G32" s="38"/>
      <c r="H32" s="38"/>
      <c r="I32" s="38"/>
      <c r="J32" s="38"/>
      <c r="K32" s="38"/>
      <c r="L32" s="38"/>
      <c r="M32" s="38"/>
      <c r="N32" s="38"/>
      <c r="O32" s="38"/>
      <c r="P32" s="38"/>
      <c r="Q32" s="38"/>
      <c r="R32" s="38"/>
      <c r="S32" s="38"/>
      <c r="T32" s="38"/>
      <c r="U32" s="38"/>
      <c r="V32" s="38"/>
      <c r="W32" s="38"/>
      <c r="X32" s="44"/>
      <c r="Y32" s="10"/>
      <c r="Z32" s="16">
        <v>20</v>
      </c>
      <c r="AA32" s="15">
        <v>1.0028999999999999</v>
      </c>
      <c r="AC32" s="3" t="s">
        <v>100</v>
      </c>
      <c r="AD32" s="3" t="s">
        <v>96</v>
      </c>
      <c r="AF32" s="100"/>
      <c r="AG32" s="21" t="s">
        <v>76</v>
      </c>
      <c r="AH32" s="21" t="s">
        <v>85</v>
      </c>
      <c r="AI32" s="21" t="s">
        <v>85</v>
      </c>
    </row>
    <row r="33" spans="1:35" ht="13.5" customHeight="1">
      <c r="A33" s="120"/>
      <c r="B33" s="121"/>
      <c r="C33" s="36"/>
      <c r="D33" s="37"/>
      <c r="E33" s="38"/>
      <c r="F33" s="38"/>
      <c r="G33" s="38"/>
      <c r="H33" s="38"/>
      <c r="I33" s="38"/>
      <c r="J33" s="38"/>
      <c r="K33" s="38"/>
      <c r="L33" s="38"/>
      <c r="M33" s="38"/>
      <c r="N33" s="38"/>
      <c r="O33" s="38"/>
      <c r="P33" s="38"/>
      <c r="Q33" s="38"/>
      <c r="R33" s="38"/>
      <c r="S33" s="38"/>
      <c r="T33" s="38"/>
      <c r="U33" s="38"/>
      <c r="V33" s="38"/>
      <c r="W33" s="38"/>
      <c r="X33" s="44"/>
      <c r="Y33" s="10"/>
      <c r="Z33" s="16">
        <v>20.5</v>
      </c>
      <c r="AA33" s="15">
        <v>1.0029999999999999</v>
      </c>
      <c r="AC33" s="3" t="s">
        <v>97</v>
      </c>
      <c r="AD33" s="3" t="s">
        <v>98</v>
      </c>
      <c r="AF33" s="100" t="s">
        <v>78</v>
      </c>
      <c r="AG33" s="100"/>
      <c r="AH33" s="21" t="s">
        <v>81</v>
      </c>
      <c r="AI33" s="21" t="s">
        <v>91</v>
      </c>
    </row>
    <row r="34" spans="1:35" ht="13.5" customHeight="1">
      <c r="A34" s="120"/>
      <c r="B34" s="121"/>
      <c r="C34" s="36"/>
      <c r="D34" s="37"/>
      <c r="E34" s="38"/>
      <c r="F34" s="38"/>
      <c r="G34" s="38"/>
      <c r="H34" s="38"/>
      <c r="I34" s="38"/>
      <c r="J34" s="38"/>
      <c r="K34" s="38"/>
      <c r="L34" s="38"/>
      <c r="M34" s="38"/>
      <c r="N34" s="38"/>
      <c r="O34" s="38"/>
      <c r="P34" s="38"/>
      <c r="Q34" s="38"/>
      <c r="R34" s="38"/>
      <c r="S34" s="38"/>
      <c r="T34" s="38"/>
      <c r="U34" s="38"/>
      <c r="V34" s="38"/>
      <c r="W34" s="38"/>
      <c r="X34" s="44"/>
      <c r="Y34" s="10"/>
      <c r="Z34" s="16">
        <v>21</v>
      </c>
      <c r="AA34" s="15">
        <v>1.0031000000000001</v>
      </c>
      <c r="AF34" s="100" t="s">
        <v>79</v>
      </c>
      <c r="AG34" s="21" t="s">
        <v>75</v>
      </c>
      <c r="AH34" s="21" t="s">
        <v>86</v>
      </c>
      <c r="AI34" s="21" t="s">
        <v>90</v>
      </c>
    </row>
    <row r="35" spans="1:35">
      <c r="A35" s="120"/>
      <c r="B35" s="121"/>
      <c r="C35" s="36"/>
      <c r="D35" s="37"/>
      <c r="E35" s="38"/>
      <c r="F35" s="38"/>
      <c r="G35" s="38"/>
      <c r="H35" s="38"/>
      <c r="I35" s="38"/>
      <c r="J35" s="38"/>
      <c r="K35" s="38"/>
      <c r="L35" s="38"/>
      <c r="M35" s="38"/>
      <c r="N35" s="38"/>
      <c r="O35" s="38"/>
      <c r="P35" s="38"/>
      <c r="Q35" s="38"/>
      <c r="R35" s="38"/>
      <c r="S35" s="38"/>
      <c r="T35" s="38"/>
      <c r="U35" s="38"/>
      <c r="V35" s="38"/>
      <c r="W35" s="38"/>
      <c r="X35" s="44"/>
      <c r="Y35" s="10"/>
      <c r="Z35" s="16">
        <v>21.5</v>
      </c>
      <c r="AA35" s="15">
        <v>1.0032000000000001</v>
      </c>
      <c r="AF35" s="100"/>
      <c r="AG35" s="21" t="s">
        <v>76</v>
      </c>
      <c r="AH35" s="21" t="s">
        <v>85</v>
      </c>
      <c r="AI35" s="21" t="s">
        <v>85</v>
      </c>
    </row>
    <row r="36" spans="1:35">
      <c r="A36" s="120"/>
      <c r="B36" s="121"/>
      <c r="C36" s="36"/>
      <c r="D36" s="37"/>
      <c r="E36" s="38"/>
      <c r="F36" s="38"/>
      <c r="G36" s="38"/>
      <c r="H36" s="38"/>
      <c r="I36" s="38"/>
      <c r="J36" s="38"/>
      <c r="K36" s="38"/>
      <c r="L36" s="38"/>
      <c r="M36" s="38"/>
      <c r="N36" s="38"/>
      <c r="O36" s="38"/>
      <c r="P36" s="38"/>
      <c r="Q36" s="38"/>
      <c r="R36" s="38"/>
      <c r="S36" s="38"/>
      <c r="T36" s="38"/>
      <c r="U36" s="38"/>
      <c r="V36" s="38"/>
      <c r="W36" s="38"/>
      <c r="X36" s="44"/>
      <c r="Y36" s="10"/>
      <c r="Z36" s="16">
        <v>22</v>
      </c>
      <c r="AA36" s="15">
        <v>1.0033000000000001</v>
      </c>
      <c r="AG36" s="10"/>
      <c r="AH36" s="11"/>
    </row>
    <row r="37" spans="1:35">
      <c r="A37" s="126"/>
      <c r="B37" s="127"/>
      <c r="C37" s="36"/>
      <c r="D37" s="37"/>
      <c r="E37" s="38"/>
      <c r="F37" s="38"/>
      <c r="G37" s="38"/>
      <c r="H37" s="38"/>
      <c r="I37" s="38"/>
      <c r="J37" s="38"/>
      <c r="K37" s="38"/>
      <c r="L37" s="38"/>
      <c r="M37" s="38"/>
      <c r="N37" s="38"/>
      <c r="O37" s="38"/>
      <c r="P37" s="38"/>
      <c r="Q37" s="38"/>
      <c r="R37" s="38"/>
      <c r="S37" s="38"/>
      <c r="T37" s="38"/>
      <c r="U37" s="38"/>
      <c r="V37" s="38"/>
      <c r="W37" s="38"/>
      <c r="X37" s="44"/>
      <c r="Y37" s="10"/>
      <c r="Z37" s="16">
        <v>22.5</v>
      </c>
      <c r="AA37" s="15">
        <v>1.0034000000000001</v>
      </c>
      <c r="AG37" s="10"/>
      <c r="AH37" s="11"/>
    </row>
    <row r="38" spans="1:35">
      <c r="A38" s="126"/>
      <c r="B38" s="127"/>
      <c r="C38" s="36"/>
      <c r="D38" s="37"/>
      <c r="E38" s="38"/>
      <c r="F38" s="38"/>
      <c r="G38" s="38"/>
      <c r="H38" s="38"/>
      <c r="I38" s="38"/>
      <c r="J38" s="38"/>
      <c r="K38" s="38"/>
      <c r="L38" s="38"/>
      <c r="M38" s="38"/>
      <c r="N38" s="38"/>
      <c r="O38" s="38"/>
      <c r="P38" s="38"/>
      <c r="Q38" s="38"/>
      <c r="R38" s="38"/>
      <c r="S38" s="38"/>
      <c r="T38" s="38"/>
      <c r="U38" s="38"/>
      <c r="V38" s="38"/>
      <c r="W38" s="38"/>
      <c r="X38" s="44"/>
      <c r="Y38" s="10"/>
      <c r="Z38" s="16">
        <v>23</v>
      </c>
      <c r="AA38" s="15">
        <v>1.0035000000000001</v>
      </c>
      <c r="AG38" s="10"/>
      <c r="AH38" s="11"/>
    </row>
    <row r="39" spans="1:35">
      <c r="A39" s="126"/>
      <c r="B39" s="127"/>
      <c r="C39" s="37"/>
      <c r="D39" s="37"/>
      <c r="E39" s="37"/>
      <c r="F39" s="37"/>
      <c r="G39" s="37"/>
      <c r="H39" s="37"/>
      <c r="I39" s="37"/>
      <c r="J39" s="37"/>
      <c r="K39" s="37"/>
      <c r="L39" s="37"/>
      <c r="M39" s="37"/>
      <c r="N39" s="37"/>
      <c r="O39" s="37"/>
      <c r="P39" s="37"/>
      <c r="Q39" s="37"/>
      <c r="R39" s="37"/>
      <c r="S39" s="37"/>
      <c r="T39" s="37"/>
      <c r="U39" s="37"/>
      <c r="V39" s="37"/>
      <c r="W39" s="37"/>
      <c r="X39" s="44"/>
      <c r="Y39" s="10"/>
      <c r="Z39" s="16">
        <v>23.5</v>
      </c>
      <c r="AA39" s="15">
        <v>1.0036</v>
      </c>
      <c r="AG39" s="10"/>
      <c r="AH39" s="12"/>
    </row>
    <row r="40" spans="1:35" ht="15" thickBot="1">
      <c r="A40" s="122" t="s">
        <v>93</v>
      </c>
      <c r="B40" s="123"/>
      <c r="C40" s="37"/>
      <c r="D40" s="132" t="s">
        <v>54</v>
      </c>
      <c r="E40" s="132"/>
      <c r="F40" s="220"/>
      <c r="G40" s="234"/>
      <c r="H40" s="234"/>
      <c r="I40" s="234"/>
      <c r="J40" s="232" t="s">
        <v>62</v>
      </c>
      <c r="K40" s="232"/>
      <c r="L40" s="232"/>
      <c r="M40" s="232"/>
      <c r="N40" s="233"/>
      <c r="O40" s="132" t="s">
        <v>67</v>
      </c>
      <c r="P40" s="132"/>
      <c r="Q40" s="132"/>
      <c r="R40" s="287" t="str">
        <f>IFERROR(VLOOKUP(MROUND($G$40,0.5),$Z$24:$AA$52,2),"－")</f>
        <v>－</v>
      </c>
      <c r="S40" s="288"/>
      <c r="T40" s="289"/>
      <c r="U40" s="132" t="s">
        <v>65</v>
      </c>
      <c r="V40" s="132"/>
      <c r="W40" s="37"/>
      <c r="X40" s="44"/>
      <c r="Y40" s="10"/>
      <c r="Z40" s="16">
        <v>24</v>
      </c>
      <c r="AA40" s="15">
        <v>1.0038</v>
      </c>
      <c r="AG40" s="10"/>
      <c r="AH40" s="12"/>
    </row>
    <row r="41" spans="1:35" ht="15" thickBot="1">
      <c r="A41" s="122"/>
      <c r="B41" s="123"/>
      <c r="C41" s="37"/>
      <c r="D41" s="221" t="s">
        <v>55</v>
      </c>
      <c r="E41" s="221"/>
      <c r="F41" s="222"/>
      <c r="G41" s="235" t="str">
        <f>IF(ISNUMBER(J$42)=TRUE,IF(J$42&lt;10,"SAS-4039","SAS-4031"),"－－－－")</f>
        <v>SAS-4031</v>
      </c>
      <c r="H41" s="236"/>
      <c r="I41" s="236"/>
      <c r="J41" s="236"/>
      <c r="K41" s="236"/>
      <c r="L41" s="236"/>
      <c r="M41" s="236"/>
      <c r="N41" s="237"/>
      <c r="O41" s="231" t="s">
        <v>55</v>
      </c>
      <c r="P41" s="221"/>
      <c r="Q41" s="221"/>
      <c r="R41" s="236" t="str">
        <f>IF(ISNUMBER(R$42)=TRUE,IF(R$42&lt;10,"SAS-4039","SAS-4031"),"－－－－")</f>
        <v>SAS-4039</v>
      </c>
      <c r="S41" s="236"/>
      <c r="T41" s="236"/>
      <c r="U41" s="236"/>
      <c r="V41" s="236"/>
      <c r="W41" s="37"/>
      <c r="X41" s="44"/>
      <c r="Y41" s="10"/>
      <c r="Z41" s="16">
        <v>24.5</v>
      </c>
      <c r="AA41" s="15">
        <v>1.0039</v>
      </c>
      <c r="AG41" s="10"/>
      <c r="AH41" s="12"/>
    </row>
    <row r="42" spans="1:35" ht="13.5" customHeight="1">
      <c r="A42" s="122"/>
      <c r="B42" s="123"/>
      <c r="C42" s="37"/>
      <c r="D42" s="134" t="s">
        <v>56</v>
      </c>
      <c r="E42" s="134"/>
      <c r="F42" s="223"/>
      <c r="G42" s="238" t="s">
        <v>63</v>
      </c>
      <c r="H42" s="134"/>
      <c r="I42" s="134"/>
      <c r="J42" s="239">
        <v>20</v>
      </c>
      <c r="K42" s="239"/>
      <c r="L42" s="239"/>
      <c r="M42" s="134" t="s">
        <v>65</v>
      </c>
      <c r="N42" s="223"/>
      <c r="O42" s="133" t="s">
        <v>68</v>
      </c>
      <c r="P42" s="134"/>
      <c r="Q42" s="134"/>
      <c r="R42" s="135">
        <v>2</v>
      </c>
      <c r="S42" s="135"/>
      <c r="T42" s="135"/>
      <c r="U42" s="134" t="s">
        <v>65</v>
      </c>
      <c r="V42" s="134"/>
      <c r="W42" s="37"/>
      <c r="X42" s="44"/>
      <c r="Y42" s="10"/>
      <c r="Z42" s="16">
        <v>25</v>
      </c>
      <c r="AA42" s="15">
        <v>1.004</v>
      </c>
      <c r="AG42" s="10"/>
      <c r="AH42" s="12"/>
    </row>
    <row r="43" spans="1:35" ht="13.5" customHeight="1">
      <c r="A43" s="122"/>
      <c r="B43" s="123"/>
      <c r="C43" s="37"/>
      <c r="D43" s="224" t="s">
        <v>57</v>
      </c>
      <c r="E43" s="224"/>
      <c r="F43" s="225"/>
      <c r="G43" s="230" t="s">
        <v>64</v>
      </c>
      <c r="H43" s="116"/>
      <c r="I43" s="116"/>
      <c r="J43" s="116" t="s">
        <v>66</v>
      </c>
      <c r="K43" s="116"/>
      <c r="L43" s="116"/>
      <c r="M43" s="116"/>
      <c r="N43" s="117"/>
      <c r="O43" s="136" t="s">
        <v>64</v>
      </c>
      <c r="P43" s="116"/>
      <c r="Q43" s="116"/>
      <c r="R43" s="116" t="s">
        <v>66</v>
      </c>
      <c r="S43" s="116"/>
      <c r="T43" s="116"/>
      <c r="U43" s="116"/>
      <c r="V43" s="116"/>
      <c r="W43" s="37"/>
      <c r="X43" s="44"/>
      <c r="Y43" s="10"/>
      <c r="Z43" s="16">
        <v>25.5</v>
      </c>
      <c r="AA43" s="15">
        <v>1.0041</v>
      </c>
      <c r="AG43" s="10"/>
      <c r="AH43" s="12"/>
    </row>
    <row r="44" spans="1:35" ht="13.5" customHeight="1">
      <c r="A44" s="122"/>
      <c r="B44" s="123"/>
      <c r="C44" s="37"/>
      <c r="D44" s="224">
        <v>1</v>
      </c>
      <c r="E44" s="224"/>
      <c r="F44" s="225"/>
      <c r="G44" s="128"/>
      <c r="H44" s="129"/>
      <c r="I44" s="129"/>
      <c r="J44" s="115" t="str">
        <f>IFERROR(IF($G44&lt;&gt;"",$G44*$R$40,"－"),"－")</f>
        <v>－</v>
      </c>
      <c r="K44" s="115"/>
      <c r="L44" s="115"/>
      <c r="M44" s="116" t="s">
        <v>65</v>
      </c>
      <c r="N44" s="117"/>
      <c r="O44" s="128"/>
      <c r="P44" s="129"/>
      <c r="Q44" s="129"/>
      <c r="R44" s="115" t="str">
        <f>IFERROR(IF($O44&lt;&gt;"",$O44*$R$40,"－"),"－")</f>
        <v>－</v>
      </c>
      <c r="S44" s="115"/>
      <c r="T44" s="115"/>
      <c r="U44" s="116" t="s">
        <v>65</v>
      </c>
      <c r="V44" s="116"/>
      <c r="W44" s="37"/>
      <c r="X44" s="44"/>
      <c r="Y44" s="10"/>
      <c r="Z44" s="16">
        <v>26</v>
      </c>
      <c r="AA44" s="15">
        <v>1.0043</v>
      </c>
      <c r="AG44" s="10"/>
      <c r="AH44" s="12"/>
    </row>
    <row r="45" spans="1:35" ht="13.5" customHeight="1">
      <c r="A45" s="122"/>
      <c r="B45" s="123"/>
      <c r="C45" s="37"/>
      <c r="D45" s="224">
        <v>2</v>
      </c>
      <c r="E45" s="224"/>
      <c r="F45" s="225"/>
      <c r="G45" s="128"/>
      <c r="H45" s="129"/>
      <c r="I45" s="129"/>
      <c r="J45" s="115" t="str">
        <f t="shared" ref="J45:J48" si="0">IFERROR(IF($G45&lt;&gt;"",$G45*$R$40,"－"),"－")</f>
        <v>－</v>
      </c>
      <c r="K45" s="115"/>
      <c r="L45" s="115"/>
      <c r="M45" s="116" t="s">
        <v>65</v>
      </c>
      <c r="N45" s="117"/>
      <c r="O45" s="128"/>
      <c r="P45" s="129"/>
      <c r="Q45" s="129"/>
      <c r="R45" s="115" t="str">
        <f>IFERROR(IF($O45&lt;&gt;"",$O45*$R$40,"－"),"－")</f>
        <v>－</v>
      </c>
      <c r="S45" s="115"/>
      <c r="T45" s="115"/>
      <c r="U45" s="116" t="s">
        <v>65</v>
      </c>
      <c r="V45" s="116"/>
      <c r="W45" s="37"/>
      <c r="X45" s="44"/>
      <c r="Y45" s="10"/>
      <c r="Z45" s="16">
        <v>26.5</v>
      </c>
      <c r="AA45" s="15">
        <v>1.0044</v>
      </c>
      <c r="AG45" s="10"/>
      <c r="AH45" s="12"/>
    </row>
    <row r="46" spans="1:35" ht="13.5" customHeight="1">
      <c r="A46" s="122"/>
      <c r="B46" s="123"/>
      <c r="C46" s="37"/>
      <c r="D46" s="224">
        <v>3</v>
      </c>
      <c r="E46" s="224"/>
      <c r="F46" s="225"/>
      <c r="G46" s="128"/>
      <c r="H46" s="129"/>
      <c r="I46" s="129"/>
      <c r="J46" s="115" t="str">
        <f t="shared" si="0"/>
        <v>－</v>
      </c>
      <c r="K46" s="115"/>
      <c r="L46" s="115"/>
      <c r="M46" s="116" t="s">
        <v>65</v>
      </c>
      <c r="N46" s="117"/>
      <c r="O46" s="128"/>
      <c r="P46" s="129"/>
      <c r="Q46" s="129"/>
      <c r="R46" s="115" t="str">
        <f t="shared" ref="R46:R48" si="1">IFERROR(IF($O46&lt;&gt;"",$O46*$R$40,"－"),"－")</f>
        <v>－</v>
      </c>
      <c r="S46" s="115"/>
      <c r="T46" s="115"/>
      <c r="U46" s="116" t="s">
        <v>65</v>
      </c>
      <c r="V46" s="116"/>
      <c r="W46" s="37"/>
      <c r="X46" s="44"/>
      <c r="Y46" s="10"/>
      <c r="Z46" s="16">
        <v>27</v>
      </c>
      <c r="AA46" s="15">
        <v>1.0044999999999999</v>
      </c>
      <c r="AG46" s="10"/>
      <c r="AH46" s="12"/>
    </row>
    <row r="47" spans="1:35" ht="13.5" customHeight="1">
      <c r="A47" s="122"/>
      <c r="B47" s="123"/>
      <c r="C47" s="37"/>
      <c r="D47" s="224">
        <v>4</v>
      </c>
      <c r="E47" s="224"/>
      <c r="F47" s="225"/>
      <c r="G47" s="128"/>
      <c r="H47" s="129"/>
      <c r="I47" s="129"/>
      <c r="J47" s="115" t="str">
        <f t="shared" si="0"/>
        <v>－</v>
      </c>
      <c r="K47" s="115"/>
      <c r="L47" s="115"/>
      <c r="M47" s="116" t="s">
        <v>65</v>
      </c>
      <c r="N47" s="117"/>
      <c r="O47" s="128"/>
      <c r="P47" s="129"/>
      <c r="Q47" s="129"/>
      <c r="R47" s="115" t="str">
        <f t="shared" si="1"/>
        <v>－</v>
      </c>
      <c r="S47" s="115"/>
      <c r="T47" s="115"/>
      <c r="U47" s="116" t="s">
        <v>65</v>
      </c>
      <c r="V47" s="116"/>
      <c r="W47" s="37"/>
      <c r="X47" s="44"/>
      <c r="Y47" s="10"/>
      <c r="Z47" s="16">
        <v>27.5</v>
      </c>
      <c r="AA47" s="15">
        <v>1.0046999999999999</v>
      </c>
      <c r="AG47" s="12"/>
    </row>
    <row r="48" spans="1:35" ht="13.5" customHeight="1" thickBot="1">
      <c r="A48" s="122"/>
      <c r="B48" s="123"/>
      <c r="C48" s="66" t="s">
        <v>127</v>
      </c>
      <c r="D48" s="260">
        <v>5</v>
      </c>
      <c r="E48" s="260"/>
      <c r="F48" s="261"/>
      <c r="G48" s="137"/>
      <c r="H48" s="138"/>
      <c r="I48" s="138"/>
      <c r="J48" s="280" t="str">
        <f t="shared" si="0"/>
        <v>－</v>
      </c>
      <c r="K48" s="281"/>
      <c r="L48" s="282"/>
      <c r="M48" s="132" t="s">
        <v>65</v>
      </c>
      <c r="N48" s="283"/>
      <c r="O48" s="291"/>
      <c r="P48" s="138"/>
      <c r="Q48" s="138"/>
      <c r="R48" s="292" t="str">
        <f t="shared" si="1"/>
        <v>－</v>
      </c>
      <c r="S48" s="292"/>
      <c r="T48" s="292"/>
      <c r="U48" s="132" t="s">
        <v>65</v>
      </c>
      <c r="V48" s="132"/>
      <c r="W48" s="37"/>
      <c r="X48" s="44"/>
      <c r="Y48" s="10"/>
      <c r="Z48" s="16">
        <v>28</v>
      </c>
      <c r="AA48" s="15">
        <v>1.0047999999999999</v>
      </c>
      <c r="AF48" s="10"/>
      <c r="AG48" s="10"/>
      <c r="AH48" s="12"/>
    </row>
    <row r="49" spans="1:34" ht="13.5" customHeight="1">
      <c r="A49" s="122"/>
      <c r="B49" s="123"/>
      <c r="C49" s="66" t="s">
        <v>75</v>
      </c>
      <c r="D49" s="262" t="s">
        <v>58</v>
      </c>
      <c r="E49" s="262"/>
      <c r="F49" s="263"/>
      <c r="G49" s="284" t="s">
        <v>69</v>
      </c>
      <c r="H49" s="134"/>
      <c r="I49" s="134"/>
      <c r="J49" s="285" t="str">
        <f>IFERROR(AVERAGE(J$44:L$48),"－")</f>
        <v>－</v>
      </c>
      <c r="K49" s="285"/>
      <c r="L49" s="285"/>
      <c r="M49" s="286" t="s">
        <v>73</v>
      </c>
      <c r="N49" s="223"/>
      <c r="O49" s="293" t="s">
        <v>74</v>
      </c>
      <c r="P49" s="134"/>
      <c r="Q49" s="134"/>
      <c r="R49" s="285" t="str">
        <f>IFERROR(AVERAGE(R$44:T$48),"－")</f>
        <v>－</v>
      </c>
      <c r="S49" s="285"/>
      <c r="T49" s="285"/>
      <c r="U49" s="286" t="s">
        <v>95</v>
      </c>
      <c r="V49" s="134"/>
      <c r="W49" s="37"/>
      <c r="X49" s="44"/>
      <c r="Y49" s="10"/>
      <c r="Z49" s="16">
        <v>28.5</v>
      </c>
      <c r="AA49" s="15">
        <v>1.0049999999999999</v>
      </c>
      <c r="AG49" s="10"/>
      <c r="AH49" s="12"/>
    </row>
    <row r="50" spans="1:34" ht="13.5" customHeight="1">
      <c r="A50" s="122"/>
      <c r="B50" s="123"/>
      <c r="C50" s="66" t="s">
        <v>130</v>
      </c>
      <c r="D50" s="224" t="s">
        <v>59</v>
      </c>
      <c r="E50" s="224"/>
      <c r="F50" s="225"/>
      <c r="G50" s="130" t="s">
        <v>70</v>
      </c>
      <c r="H50" s="116"/>
      <c r="I50" s="116"/>
      <c r="J50" s="277" t="str">
        <f>IFERROR(ROUND((J$49-J$42)/J$42*100,1),"－")</f>
        <v>－</v>
      </c>
      <c r="K50" s="277"/>
      <c r="L50" s="277"/>
      <c r="M50" s="116" t="s">
        <v>75</v>
      </c>
      <c r="N50" s="117"/>
      <c r="O50" s="290" t="s">
        <v>71</v>
      </c>
      <c r="P50" s="116"/>
      <c r="Q50" s="116"/>
      <c r="R50" s="131" t="str">
        <f>IFERROR(ROUND((R$49-R$42)/R$42*100,1),"－")</f>
        <v>－</v>
      </c>
      <c r="S50" s="131"/>
      <c r="T50" s="131"/>
      <c r="U50" s="116" t="s">
        <v>76</v>
      </c>
      <c r="V50" s="117"/>
      <c r="W50" s="46" t="s">
        <v>103</v>
      </c>
      <c r="X50" s="44"/>
      <c r="Y50" s="10"/>
      <c r="Z50" s="16">
        <v>29</v>
      </c>
      <c r="AA50" s="15">
        <v>1.0051000000000001</v>
      </c>
      <c r="AG50" s="10"/>
      <c r="AH50" s="12"/>
    </row>
    <row r="51" spans="1:34" ht="13.5" customHeight="1">
      <c r="A51" s="122"/>
      <c r="B51" s="123"/>
      <c r="C51" s="66" t="s">
        <v>76</v>
      </c>
      <c r="D51" s="224" t="s">
        <v>60</v>
      </c>
      <c r="E51" s="224"/>
      <c r="F51" s="225"/>
      <c r="G51" s="130" t="s">
        <v>69</v>
      </c>
      <c r="H51" s="116"/>
      <c r="I51" s="116"/>
      <c r="J51" s="131" t="str">
        <f>IFERROR(ROUND(STDEV(J$44:L$48)/J$49*100,1),"－")</f>
        <v>－</v>
      </c>
      <c r="K51" s="131"/>
      <c r="L51" s="131"/>
      <c r="M51" s="116" t="s">
        <v>126</v>
      </c>
      <c r="N51" s="117"/>
      <c r="O51" s="290" t="s">
        <v>72</v>
      </c>
      <c r="P51" s="116"/>
      <c r="Q51" s="116"/>
      <c r="R51" s="131" t="str">
        <f>IFERROR(ROUND(STDEV(R$44:T$48)/R$49*100,1),"－")</f>
        <v>－</v>
      </c>
      <c r="S51" s="131"/>
      <c r="T51" s="131"/>
      <c r="U51" s="116" t="s">
        <v>131</v>
      </c>
      <c r="V51" s="116"/>
      <c r="W51" s="46" t="s">
        <v>103</v>
      </c>
      <c r="X51" s="44"/>
      <c r="Y51" s="10"/>
      <c r="Z51" s="16">
        <v>29.5</v>
      </c>
      <c r="AA51" s="15">
        <v>1.0052000000000001</v>
      </c>
      <c r="AD51" s="10"/>
      <c r="AE51" s="12"/>
    </row>
    <row r="52" spans="1:34" ht="13.5" customHeight="1">
      <c r="A52" s="122"/>
      <c r="B52" s="123"/>
      <c r="C52" s="37"/>
      <c r="D52" s="37"/>
      <c r="E52" s="37"/>
      <c r="F52" s="37"/>
      <c r="G52" s="37"/>
      <c r="H52" s="37"/>
      <c r="I52" s="37"/>
      <c r="J52" s="37"/>
      <c r="K52" s="37"/>
      <c r="L52" s="37"/>
      <c r="M52" s="37"/>
      <c r="N52" s="37"/>
      <c r="O52" s="37"/>
      <c r="P52" s="37"/>
      <c r="Q52" s="37"/>
      <c r="R52" s="37"/>
      <c r="S52" s="37"/>
      <c r="T52" s="37"/>
      <c r="U52" s="37"/>
      <c r="V52" s="37"/>
      <c r="W52" s="37"/>
      <c r="X52" s="44"/>
      <c r="Y52" s="10"/>
      <c r="Z52" s="16">
        <v>30</v>
      </c>
      <c r="AA52" s="15">
        <v>1.0054000000000001</v>
      </c>
      <c r="AD52" s="10"/>
      <c r="AE52" s="12"/>
    </row>
    <row r="53" spans="1:34" ht="13.5" customHeight="1">
      <c r="A53" s="122"/>
      <c r="B53" s="123"/>
      <c r="C53" s="37"/>
      <c r="D53" s="37"/>
      <c r="E53" s="37"/>
      <c r="F53" s="37"/>
      <c r="G53" s="37"/>
      <c r="H53" s="37"/>
      <c r="I53" s="37"/>
      <c r="J53" s="37"/>
      <c r="K53" s="37"/>
      <c r="L53" s="37"/>
      <c r="M53" s="37"/>
      <c r="N53" s="37"/>
      <c r="O53" s="37"/>
      <c r="P53" s="37"/>
      <c r="Q53" s="37"/>
      <c r="R53" s="37"/>
      <c r="S53" s="37"/>
      <c r="T53" s="37"/>
      <c r="U53" s="37"/>
      <c r="V53" s="37"/>
      <c r="W53" s="37"/>
      <c r="X53" s="44"/>
      <c r="Y53" s="10"/>
      <c r="Z53" s="12"/>
      <c r="AD53" s="10"/>
      <c r="AE53" s="12"/>
    </row>
    <row r="54" spans="1:34" ht="13.5" customHeight="1" thickBot="1">
      <c r="A54" s="124"/>
      <c r="B54" s="125"/>
      <c r="C54" s="47"/>
      <c r="D54" s="47"/>
      <c r="E54" s="47"/>
      <c r="F54" s="47"/>
      <c r="G54" s="47"/>
      <c r="H54" s="47"/>
      <c r="I54" s="47"/>
      <c r="J54" s="47"/>
      <c r="K54" s="47"/>
      <c r="L54" s="47"/>
      <c r="M54" s="47"/>
      <c r="N54" s="47"/>
      <c r="O54" s="47"/>
      <c r="P54" s="47"/>
      <c r="Q54" s="47"/>
      <c r="R54" s="47"/>
      <c r="S54" s="47"/>
      <c r="T54" s="47"/>
      <c r="U54" s="47"/>
      <c r="V54" s="47"/>
      <c r="W54" s="47"/>
      <c r="X54" s="44"/>
      <c r="Y54" s="10"/>
      <c r="Z54" s="12"/>
      <c r="AD54" s="10"/>
      <c r="AE54" s="12"/>
    </row>
    <row r="55" spans="1:34" ht="18.75">
      <c r="A55" s="111" t="s">
        <v>1</v>
      </c>
      <c r="B55" s="112"/>
      <c r="C55" s="112"/>
      <c r="D55" s="112"/>
      <c r="E55" s="112"/>
      <c r="F55" s="112"/>
      <c r="G55" s="112"/>
      <c r="H55" s="112"/>
      <c r="I55" s="112"/>
      <c r="J55" s="112"/>
      <c r="K55" s="112"/>
      <c r="L55" s="112"/>
      <c r="M55" s="112"/>
      <c r="N55" s="112"/>
      <c r="O55" s="112"/>
      <c r="P55" s="112"/>
      <c r="Q55" s="112"/>
      <c r="R55" s="112"/>
      <c r="S55" s="112"/>
      <c r="T55" s="112"/>
      <c r="U55" s="112"/>
      <c r="V55" s="112"/>
      <c r="W55" s="112"/>
      <c r="X55" s="113"/>
      <c r="Y55" s="10"/>
      <c r="Z55" s="12"/>
    </row>
    <row r="56" spans="1:34">
      <c r="A56" s="105"/>
      <c r="B56" s="106"/>
      <c r="C56" s="106"/>
      <c r="D56" s="106"/>
      <c r="E56" s="106"/>
      <c r="F56" s="106"/>
      <c r="G56" s="106"/>
      <c r="H56" s="106"/>
      <c r="I56" s="106"/>
      <c r="J56" s="106"/>
      <c r="K56" s="106"/>
      <c r="L56" s="106"/>
      <c r="M56" s="106"/>
      <c r="N56" s="106"/>
      <c r="O56" s="106"/>
      <c r="P56" s="106"/>
      <c r="Q56" s="106"/>
      <c r="R56" s="106"/>
      <c r="S56" s="106"/>
      <c r="T56" s="106"/>
      <c r="U56" s="106"/>
      <c r="V56" s="106"/>
      <c r="W56" s="106"/>
      <c r="X56" s="107"/>
      <c r="Y56" s="10"/>
      <c r="Z56" s="12" t="str">
        <f>IFERROR(IF(OR($M$50=$C$49,$M$51=$C$49,$U$50=$C$49,$U$51=$C$49),$C$49,IF(OR($M$50=$C$50,$M$51=$C$50,$U$50=$C$50,$U$51=$C$50),$C$50,$C$51)),"")</f>
        <v>不適</v>
      </c>
    </row>
    <row r="57" spans="1:34">
      <c r="A57" s="105"/>
      <c r="B57" s="106"/>
      <c r="C57" s="106"/>
      <c r="D57" s="106"/>
      <c r="E57" s="106"/>
      <c r="F57" s="106"/>
      <c r="G57" s="106"/>
      <c r="H57" s="106"/>
      <c r="I57" s="106"/>
      <c r="J57" s="106"/>
      <c r="K57" s="106"/>
      <c r="L57" s="106"/>
      <c r="M57" s="106"/>
      <c r="N57" s="106"/>
      <c r="O57" s="106"/>
      <c r="P57" s="106"/>
      <c r="Q57" s="106"/>
      <c r="R57" s="106"/>
      <c r="S57" s="106"/>
      <c r="T57" s="106"/>
      <c r="U57" s="106"/>
      <c r="V57" s="106"/>
      <c r="W57" s="106"/>
      <c r="X57" s="107"/>
      <c r="Y57" s="10"/>
      <c r="Z57" s="12"/>
    </row>
    <row r="58" spans="1:34" ht="15" thickBot="1">
      <c r="A58" s="108"/>
      <c r="B58" s="109"/>
      <c r="C58" s="109"/>
      <c r="D58" s="109"/>
      <c r="E58" s="109"/>
      <c r="F58" s="109"/>
      <c r="G58" s="109"/>
      <c r="H58" s="109"/>
      <c r="I58" s="109"/>
      <c r="J58" s="109"/>
      <c r="K58" s="109"/>
      <c r="L58" s="109"/>
      <c r="M58" s="109"/>
      <c r="N58" s="109"/>
      <c r="O58" s="109"/>
      <c r="P58" s="109"/>
      <c r="Q58" s="109"/>
      <c r="R58" s="109"/>
      <c r="S58" s="109"/>
      <c r="T58" s="109"/>
      <c r="U58" s="109"/>
      <c r="V58" s="109"/>
      <c r="W58" s="109"/>
      <c r="X58" s="110"/>
    </row>
    <row r="59" spans="1:34">
      <c r="A59" s="245" t="s">
        <v>0</v>
      </c>
      <c r="B59" s="246"/>
      <c r="C59" s="246"/>
      <c r="D59" s="246"/>
      <c r="E59" s="268" t="s">
        <v>9</v>
      </c>
      <c r="F59" s="268"/>
      <c r="G59" s="268"/>
      <c r="H59" s="268"/>
      <c r="I59" s="268"/>
      <c r="J59" s="268"/>
      <c r="K59" s="268"/>
      <c r="L59" s="268"/>
      <c r="M59" s="268"/>
      <c r="N59" s="268"/>
      <c r="O59" s="268"/>
      <c r="P59" s="268"/>
      <c r="Q59" s="268"/>
      <c r="R59" s="268"/>
      <c r="S59" s="268"/>
      <c r="T59" s="268"/>
      <c r="U59" s="268"/>
      <c r="V59" s="268"/>
      <c r="W59" s="268"/>
      <c r="X59" s="269"/>
    </row>
    <row r="60" spans="1:34" ht="16.5" customHeight="1">
      <c r="A60" s="264"/>
      <c r="B60" s="265"/>
      <c r="C60" s="265"/>
      <c r="D60" s="265"/>
      <c r="E60" s="270" t="s">
        <v>5</v>
      </c>
      <c r="F60" s="270"/>
      <c r="G60" s="270"/>
      <c r="H60" s="270"/>
      <c r="I60" s="270"/>
      <c r="J60" s="270"/>
      <c r="K60" s="270"/>
      <c r="L60" s="270"/>
      <c r="M60" s="270"/>
      <c r="N60" s="270"/>
      <c r="O60" s="270"/>
      <c r="P60" s="270"/>
      <c r="Q60" s="270"/>
      <c r="R60" s="270"/>
      <c r="S60" s="270"/>
      <c r="T60" s="270"/>
      <c r="U60" s="270"/>
      <c r="V60" s="270"/>
      <c r="W60" s="270"/>
      <c r="X60" s="271"/>
    </row>
    <row r="61" spans="1:34" ht="16.5" customHeight="1">
      <c r="A61" s="266"/>
      <c r="B61" s="267"/>
      <c r="C61" s="267"/>
      <c r="D61" s="267"/>
      <c r="E61" s="270" t="s">
        <v>6</v>
      </c>
      <c r="F61" s="270"/>
      <c r="G61" s="270"/>
      <c r="H61" s="270"/>
      <c r="I61" s="270"/>
      <c r="J61" s="270"/>
      <c r="K61" s="270"/>
      <c r="L61" s="270"/>
      <c r="M61" s="270"/>
      <c r="N61" s="270"/>
      <c r="O61" s="270"/>
      <c r="P61" s="270"/>
      <c r="Q61" s="270"/>
      <c r="R61" s="270"/>
      <c r="S61" s="270"/>
      <c r="T61" s="270"/>
      <c r="U61" s="270"/>
      <c r="V61" s="270"/>
      <c r="W61" s="270"/>
      <c r="X61" s="271"/>
    </row>
    <row r="62" spans="1:34" ht="16.5" customHeight="1">
      <c r="A62" s="266"/>
      <c r="B62" s="267"/>
      <c r="C62" s="267"/>
      <c r="D62" s="267"/>
      <c r="E62" s="272" t="s">
        <v>8</v>
      </c>
      <c r="F62" s="270"/>
      <c r="G62" s="270"/>
      <c r="H62" s="270"/>
      <c r="I62" s="270"/>
      <c r="J62" s="270"/>
      <c r="K62" s="270"/>
      <c r="L62" s="270"/>
      <c r="M62" s="270"/>
      <c r="N62" s="270"/>
      <c r="O62" s="270"/>
      <c r="P62" s="270"/>
      <c r="Q62" s="270"/>
      <c r="R62" s="270"/>
      <c r="S62" s="270"/>
      <c r="T62" s="270"/>
      <c r="U62" s="270"/>
      <c r="V62" s="270"/>
      <c r="W62" s="270"/>
      <c r="X62" s="271"/>
    </row>
    <row r="63" spans="1:34" ht="16.5" customHeight="1" thickBot="1">
      <c r="A63" s="247"/>
      <c r="B63" s="248"/>
      <c r="C63" s="248"/>
      <c r="D63" s="248"/>
      <c r="E63" s="243" t="s">
        <v>7</v>
      </c>
      <c r="F63" s="243"/>
      <c r="G63" s="243"/>
      <c r="H63" s="243"/>
      <c r="I63" s="243"/>
      <c r="J63" s="243"/>
      <c r="K63" s="243"/>
      <c r="L63" s="243"/>
      <c r="M63" s="243"/>
      <c r="N63" s="243"/>
      <c r="O63" s="243"/>
      <c r="P63" s="243"/>
      <c r="Q63" s="243"/>
      <c r="R63" s="243"/>
      <c r="S63" s="243"/>
      <c r="T63" s="243"/>
      <c r="U63" s="243"/>
      <c r="V63" s="243"/>
      <c r="W63" s="243"/>
      <c r="X63" s="244"/>
    </row>
    <row r="64" spans="1:34" ht="30" customHeight="1">
      <c r="A64" s="245" t="s">
        <v>61</v>
      </c>
      <c r="B64" s="246"/>
      <c r="C64" s="246"/>
      <c r="D64" s="246"/>
      <c r="E64" s="249" t="str">
        <f>IFERROR(IF(OR($M$50=$C$48,$M$51=$C$48,$U$50=$C$48,$U$51=$C$48),$C$48,IF(OR($M$50=$C$49,$M$51=$C$49,$U$50=$C$49,$U$51=$C$49),$C$49,IF(OR($M$50=$C$50,$M$51=$C$50,$U$50=$C$50,$U$51=$C$50),$C$50,IF(OR(AND($M$50=$C$51,$M$51=$C$51),AND($U$50=$C$51,$U$51=$C$51)),$C$51,"")))),"")</f>
        <v>不適</v>
      </c>
      <c r="F64" s="250"/>
      <c r="G64" s="253" t="s">
        <v>2</v>
      </c>
      <c r="H64" s="254"/>
      <c r="I64" s="257" t="s">
        <v>125</v>
      </c>
      <c r="J64" s="258"/>
      <c r="K64" s="258"/>
      <c r="L64" s="258"/>
      <c r="M64" s="258"/>
      <c r="N64" s="258"/>
      <c r="O64" s="258"/>
      <c r="P64" s="258"/>
      <c r="Q64" s="258"/>
      <c r="R64" s="258"/>
      <c r="S64" s="258"/>
      <c r="T64" s="258"/>
      <c r="U64" s="258"/>
      <c r="V64" s="258"/>
      <c r="W64" s="258"/>
      <c r="X64" s="259"/>
    </row>
    <row r="65" spans="1:29" ht="30" customHeight="1" thickBot="1">
      <c r="A65" s="247"/>
      <c r="B65" s="248"/>
      <c r="C65" s="248"/>
      <c r="D65" s="248"/>
      <c r="E65" s="251"/>
      <c r="F65" s="252"/>
      <c r="G65" s="255"/>
      <c r="H65" s="256"/>
      <c r="I65" s="273"/>
      <c r="J65" s="274"/>
      <c r="K65" s="274"/>
      <c r="L65" s="274"/>
      <c r="M65" s="274"/>
      <c r="N65" s="274"/>
      <c r="O65" s="274"/>
      <c r="P65" s="275" t="s">
        <v>102</v>
      </c>
      <c r="Q65" s="275"/>
      <c r="R65" s="275"/>
      <c r="S65" s="275"/>
      <c r="T65" s="275"/>
      <c r="U65" s="275"/>
      <c r="V65" s="275"/>
      <c r="W65" s="275"/>
      <c r="X65" s="276"/>
    </row>
    <row r="66" spans="1:29" ht="3.75" customHeight="1" thickBot="1">
      <c r="A66" s="65"/>
      <c r="B66" s="49"/>
      <c r="C66" s="49"/>
      <c r="D66" s="49"/>
      <c r="E66" s="48"/>
      <c r="F66" s="49"/>
      <c r="G66" s="49"/>
      <c r="H66" s="49"/>
      <c r="I66" s="49"/>
      <c r="J66" s="49"/>
      <c r="K66" s="49"/>
      <c r="L66" s="49"/>
      <c r="M66" s="49"/>
      <c r="N66" s="49"/>
      <c r="O66" s="49"/>
      <c r="P66" s="49"/>
      <c r="Q66" s="49"/>
      <c r="R66" s="49"/>
      <c r="S66" s="49"/>
      <c r="T66" s="49"/>
      <c r="U66" s="49"/>
      <c r="V66" s="49"/>
      <c r="W66" s="49"/>
      <c r="X66" s="50"/>
      <c r="Y66" s="4"/>
    </row>
    <row r="67" spans="1:29" s="5" customFormat="1" ht="63.75" customHeight="1" thickBot="1">
      <c r="A67" s="240" t="s">
        <v>3</v>
      </c>
      <c r="B67" s="241"/>
      <c r="C67" s="241"/>
      <c r="D67" s="278"/>
      <c r="E67" s="279" t="s">
        <v>132</v>
      </c>
      <c r="F67" s="241"/>
      <c r="G67" s="241"/>
      <c r="H67" s="241"/>
      <c r="I67" s="241"/>
      <c r="J67" s="241"/>
      <c r="K67" s="241"/>
      <c r="L67" s="241"/>
      <c r="M67" s="241"/>
      <c r="N67" s="241"/>
      <c r="O67" s="242"/>
      <c r="P67" s="240" t="s">
        <v>180</v>
      </c>
      <c r="Q67" s="278"/>
      <c r="R67" s="240"/>
      <c r="S67" s="241"/>
      <c r="T67" s="241"/>
      <c r="U67" s="241"/>
      <c r="V67" s="241"/>
      <c r="W67" s="241"/>
      <c r="X67" s="242"/>
      <c r="AC67" s="3"/>
    </row>
    <row r="68" spans="1:29">
      <c r="A68" s="6"/>
      <c r="B68" s="6"/>
      <c r="C68" s="6"/>
      <c r="D68" s="6"/>
      <c r="E68" s="6"/>
      <c r="F68" s="6"/>
      <c r="G68" s="6"/>
      <c r="H68" s="6"/>
      <c r="I68" s="6"/>
      <c r="J68" s="6"/>
      <c r="K68" s="6"/>
      <c r="L68" s="6"/>
      <c r="M68" s="6"/>
      <c r="N68" s="6"/>
      <c r="O68" s="6"/>
      <c r="P68" s="6"/>
      <c r="Q68" s="6"/>
      <c r="R68" s="6"/>
      <c r="S68" s="6"/>
      <c r="T68" s="6"/>
      <c r="U68" s="6"/>
      <c r="V68" s="6"/>
      <c r="W68" s="6"/>
      <c r="X68" s="6"/>
      <c r="AC68" s="5"/>
    </row>
    <row r="74" spans="1:29">
      <c r="G74" s="2"/>
      <c r="H74" s="6"/>
    </row>
    <row r="75" spans="1:29">
      <c r="G75" s="2"/>
      <c r="H75" s="6"/>
    </row>
  </sheetData>
  <mergeCells count="137">
    <mergeCell ref="R41:V41"/>
    <mergeCell ref="R40:T40"/>
    <mergeCell ref="O50:Q50"/>
    <mergeCell ref="R50:T50"/>
    <mergeCell ref="U50:V50"/>
    <mergeCell ref="O51:Q51"/>
    <mergeCell ref="R51:T51"/>
    <mergeCell ref="U51:V51"/>
    <mergeCell ref="O48:Q48"/>
    <mergeCell ref="R48:T48"/>
    <mergeCell ref="U48:V48"/>
    <mergeCell ref="O49:Q49"/>
    <mergeCell ref="R49:T49"/>
    <mergeCell ref="U49:V49"/>
    <mergeCell ref="O46:Q46"/>
    <mergeCell ref="R46:T46"/>
    <mergeCell ref="U46:V46"/>
    <mergeCell ref="O47:Q47"/>
    <mergeCell ref="R47:T47"/>
    <mergeCell ref="U47:V47"/>
    <mergeCell ref="R43:V43"/>
    <mergeCell ref="O44:Q44"/>
    <mergeCell ref="O45:Q45"/>
    <mergeCell ref="J48:L48"/>
    <mergeCell ref="M48:N48"/>
    <mergeCell ref="G49:I49"/>
    <mergeCell ref="J49:L49"/>
    <mergeCell ref="M49:N49"/>
    <mergeCell ref="G45:I45"/>
    <mergeCell ref="J45:L45"/>
    <mergeCell ref="M45:N45"/>
    <mergeCell ref="G46:I46"/>
    <mergeCell ref="J46:L46"/>
    <mergeCell ref="R67:X67"/>
    <mergeCell ref="E63:X63"/>
    <mergeCell ref="A64:D65"/>
    <mergeCell ref="E64:F65"/>
    <mergeCell ref="G64:H65"/>
    <mergeCell ref="I64:X64"/>
    <mergeCell ref="D47:F47"/>
    <mergeCell ref="D48:F48"/>
    <mergeCell ref="D49:F49"/>
    <mergeCell ref="D50:F50"/>
    <mergeCell ref="D51:F51"/>
    <mergeCell ref="A59:D63"/>
    <mergeCell ref="E59:X59"/>
    <mergeCell ref="E60:X60"/>
    <mergeCell ref="E61:X61"/>
    <mergeCell ref="E62:X62"/>
    <mergeCell ref="I65:O65"/>
    <mergeCell ref="P65:R65"/>
    <mergeCell ref="S65:X65"/>
    <mergeCell ref="G50:I50"/>
    <mergeCell ref="J50:L50"/>
    <mergeCell ref="A67:D67"/>
    <mergeCell ref="E67:O67"/>
    <mergeCell ref="P67:Q67"/>
    <mergeCell ref="A18:D19"/>
    <mergeCell ref="S18:U19"/>
    <mergeCell ref="D40:F40"/>
    <mergeCell ref="D41:F41"/>
    <mergeCell ref="D42:F42"/>
    <mergeCell ref="D43:F43"/>
    <mergeCell ref="D44:F44"/>
    <mergeCell ref="D45:F45"/>
    <mergeCell ref="D46:F46"/>
    <mergeCell ref="E19:F19"/>
    <mergeCell ref="G19:R19"/>
    <mergeCell ref="J43:N43"/>
    <mergeCell ref="G43:I43"/>
    <mergeCell ref="G44:I44"/>
    <mergeCell ref="M46:N46"/>
    <mergeCell ref="O41:Q41"/>
    <mergeCell ref="J40:N40"/>
    <mergeCell ref="G40:I40"/>
    <mergeCell ref="G41:N41"/>
    <mergeCell ref="G42:I42"/>
    <mergeCell ref="M42:N42"/>
    <mergeCell ref="J42:L42"/>
    <mergeCell ref="R45:T45"/>
    <mergeCell ref="U45:V45"/>
    <mergeCell ref="A1:G4"/>
    <mergeCell ref="H1:I1"/>
    <mergeCell ref="H2:X3"/>
    <mergeCell ref="A5:G7"/>
    <mergeCell ref="H5:J7"/>
    <mergeCell ref="K5:R7"/>
    <mergeCell ref="S5:X7"/>
    <mergeCell ref="E17:M17"/>
    <mergeCell ref="R17:X17"/>
    <mergeCell ref="A15:E15"/>
    <mergeCell ref="F15:K15"/>
    <mergeCell ref="L15:O15"/>
    <mergeCell ref="P15:X15"/>
    <mergeCell ref="A17:D17"/>
    <mergeCell ref="N17:Q17"/>
    <mergeCell ref="A13:E13"/>
    <mergeCell ref="F13:K13"/>
    <mergeCell ref="L13:O13"/>
    <mergeCell ref="P13:X13"/>
    <mergeCell ref="A14:E14"/>
    <mergeCell ref="F14:K14"/>
    <mergeCell ref="L14:O14"/>
    <mergeCell ref="P14:X14"/>
    <mergeCell ref="A56:X58"/>
    <mergeCell ref="A55:X55"/>
    <mergeCell ref="Z22:AA22"/>
    <mergeCell ref="J44:L44"/>
    <mergeCell ref="M44:N44"/>
    <mergeCell ref="R44:T44"/>
    <mergeCell ref="U44:V44"/>
    <mergeCell ref="A20:B36"/>
    <mergeCell ref="A40:B54"/>
    <mergeCell ref="A37:B39"/>
    <mergeCell ref="G47:I47"/>
    <mergeCell ref="J47:L47"/>
    <mergeCell ref="M50:N50"/>
    <mergeCell ref="G51:I51"/>
    <mergeCell ref="J51:L51"/>
    <mergeCell ref="M51:N51"/>
    <mergeCell ref="O40:Q40"/>
    <mergeCell ref="U40:V40"/>
    <mergeCell ref="O42:Q42"/>
    <mergeCell ref="R42:T42"/>
    <mergeCell ref="U42:V42"/>
    <mergeCell ref="O43:Q43"/>
    <mergeCell ref="M47:N47"/>
    <mergeCell ref="G48:I48"/>
    <mergeCell ref="V18:X19"/>
    <mergeCell ref="AF30:AF32"/>
    <mergeCell ref="AF29:AG29"/>
    <mergeCell ref="AF28:AI28"/>
    <mergeCell ref="AF34:AF35"/>
    <mergeCell ref="AF33:AG33"/>
    <mergeCell ref="O18:R18"/>
    <mergeCell ref="E18:H18"/>
    <mergeCell ref="I18:N18"/>
  </mergeCells>
  <phoneticPr fontId="1"/>
  <dataValidations count="1">
    <dataValidation type="list" allowBlank="1" showInputMessage="1" showErrorMessage="1" sqref="A37:B39">
      <formula1>"1,2,3,4,5"</formula1>
    </dataValidation>
  </dataValidations>
  <printOptions horizontalCentered="1"/>
  <pageMargins left="0.23622047244094491" right="0.23622047244094491" top="0.74803149606299213" bottom="0.74803149606299213" header="0.31496062992125984" footer="0.31496062992125984"/>
  <pageSetup paperSize="9" scale="72" orientation="portrait" r:id="rId1"/>
  <headerFooter alignWithMargins="0"/>
  <colBreaks count="1" manualBreakCount="1">
    <brk id="24" max="1048575" man="1"/>
  </colBreaks>
  <drawing r:id="rId2"/>
  <legacyDrawing r:id="rId3"/>
  <controls>
    <mc:AlternateContent xmlns:mc="http://schemas.openxmlformats.org/markup-compatibility/2006">
      <mc:Choice Requires="x14">
        <control shapeId="2055" r:id="rId4" name="NoAbnormalityCheckBox">
          <controlPr defaultSize="0" autoLine="0" r:id="rId5">
            <anchor moveWithCells="1">
              <from>
                <xdr:col>5</xdr:col>
                <xdr:colOff>381000</xdr:colOff>
                <xdr:row>16</xdr:row>
                <xdr:rowOff>0</xdr:rowOff>
              </from>
              <to>
                <xdr:col>8</xdr:col>
                <xdr:colOff>0</xdr:colOff>
                <xdr:row>17</xdr:row>
                <xdr:rowOff>0</xdr:rowOff>
              </to>
            </anchor>
          </controlPr>
        </control>
      </mc:Choice>
      <mc:Fallback>
        <control shapeId="2055" r:id="rId4" name="NoAbnormalityCheckBox"/>
      </mc:Fallback>
    </mc:AlternateContent>
    <mc:AlternateContent xmlns:mc="http://schemas.openxmlformats.org/markup-compatibility/2006">
      <mc:Choice Requires="x14">
        <control shapeId="2057" r:id="rId6" name="AbnormalityCheckBox">
          <controlPr defaultSize="0" autoLine="0" r:id="rId7">
            <anchor moveWithCells="1">
              <from>
                <xdr:col>9</xdr:col>
                <xdr:colOff>57150</xdr:colOff>
                <xdr:row>16</xdr:row>
                <xdr:rowOff>0</xdr:rowOff>
              </from>
              <to>
                <xdr:col>11</xdr:col>
                <xdr:colOff>0</xdr:colOff>
                <xdr:row>17</xdr:row>
                <xdr:rowOff>0</xdr:rowOff>
              </to>
            </anchor>
          </controlPr>
        </control>
      </mc:Choice>
      <mc:Fallback>
        <control shapeId="2057" r:id="rId6" name="AbnormalityCheckBox"/>
      </mc:Fallback>
    </mc:AlternateContent>
    <mc:AlternateContent xmlns:mc="http://schemas.openxmlformats.org/markup-compatibility/2006">
      <mc:Choice Requires="x14">
        <control shapeId="2058" r:id="rId8" name="NoLeakCheckBox">
          <controlPr defaultSize="0" autoLine="0" r:id="rId9">
            <anchor moveWithCells="1">
              <from>
                <xdr:col>17</xdr:col>
                <xdr:colOff>85725</xdr:colOff>
                <xdr:row>16</xdr:row>
                <xdr:rowOff>0</xdr:rowOff>
              </from>
              <to>
                <xdr:col>21</xdr:col>
                <xdr:colOff>66675</xdr:colOff>
                <xdr:row>17</xdr:row>
                <xdr:rowOff>0</xdr:rowOff>
              </to>
            </anchor>
          </controlPr>
        </control>
      </mc:Choice>
      <mc:Fallback>
        <control shapeId="2058" r:id="rId8" name="NoLeakCheckBox"/>
      </mc:Fallback>
    </mc:AlternateContent>
    <mc:AlternateContent xmlns:mc="http://schemas.openxmlformats.org/markup-compatibility/2006">
      <mc:Choice Requires="x14">
        <control shapeId="2059" r:id="rId10" name="LeakCheckBox">
          <controlPr defaultSize="0" autoLine="0" r:id="rId11">
            <anchor moveWithCells="1">
              <from>
                <xdr:col>21</xdr:col>
                <xdr:colOff>57150</xdr:colOff>
                <xdr:row>16</xdr:row>
                <xdr:rowOff>0</xdr:rowOff>
              </from>
              <to>
                <xdr:col>23</xdr:col>
                <xdr:colOff>133350</xdr:colOff>
                <xdr:row>17</xdr:row>
                <xdr:rowOff>0</xdr:rowOff>
              </to>
            </anchor>
          </controlPr>
        </control>
      </mc:Choice>
      <mc:Fallback>
        <control shapeId="2059" r:id="rId10" name="LeakCheckBox"/>
      </mc:Fallback>
    </mc:AlternateContent>
    <mc:AlternateContent xmlns:mc="http://schemas.openxmlformats.org/markup-compatibility/2006">
      <mc:Choice Requires="x14">
        <control shapeId="2060" r:id="rId12" name="UnDegradationCheckBox">
          <controlPr defaultSize="0" autoLine="0" r:id="rId13">
            <anchor moveWithCells="1">
              <from>
                <xdr:col>4</xdr:col>
                <xdr:colOff>66675</xdr:colOff>
                <xdr:row>18</xdr:row>
                <xdr:rowOff>0</xdr:rowOff>
              </from>
              <to>
                <xdr:col>6</xdr:col>
                <xdr:colOff>0</xdr:colOff>
                <xdr:row>19</xdr:row>
                <xdr:rowOff>0</xdr:rowOff>
              </to>
            </anchor>
          </controlPr>
        </control>
      </mc:Choice>
      <mc:Fallback>
        <control shapeId="2060" r:id="rId12" name="UnDegradationCheckBox"/>
      </mc:Fallback>
    </mc:AlternateContent>
    <mc:AlternateContent xmlns:mc="http://schemas.openxmlformats.org/markup-compatibility/2006">
      <mc:Choice Requires="x14">
        <control shapeId="2061" r:id="rId14" name="DisassemblyCleaningCheckBox">
          <controlPr defaultSize="0" autoLine="0" r:id="rId15">
            <anchor moveWithCells="1">
              <from>
                <xdr:col>6</xdr:col>
                <xdr:colOff>47625</xdr:colOff>
                <xdr:row>18</xdr:row>
                <xdr:rowOff>0</xdr:rowOff>
              </from>
              <to>
                <xdr:col>8</xdr:col>
                <xdr:colOff>171450</xdr:colOff>
                <xdr:row>19</xdr:row>
                <xdr:rowOff>0</xdr:rowOff>
              </to>
            </anchor>
          </controlPr>
        </control>
      </mc:Choice>
      <mc:Fallback>
        <control shapeId="2061" r:id="rId14" name="DisassemblyCleaningCheckBox"/>
      </mc:Fallback>
    </mc:AlternateContent>
    <mc:AlternateContent xmlns:mc="http://schemas.openxmlformats.org/markup-compatibility/2006">
      <mc:Choice Requires="x14">
        <control shapeId="2063" r:id="rId16" name="TeflonSealCheckBox">
          <controlPr defaultSize="0" autoLine="0" r:id="rId17">
            <anchor moveWithCells="1">
              <from>
                <xdr:col>8</xdr:col>
                <xdr:colOff>228600</xdr:colOff>
                <xdr:row>18</xdr:row>
                <xdr:rowOff>0</xdr:rowOff>
              </from>
              <to>
                <xdr:col>11</xdr:col>
                <xdr:colOff>295275</xdr:colOff>
                <xdr:row>19</xdr:row>
                <xdr:rowOff>0</xdr:rowOff>
              </to>
            </anchor>
          </controlPr>
        </control>
      </mc:Choice>
      <mc:Fallback>
        <control shapeId="2063" r:id="rId16" name="TeflonSealCheckBox"/>
      </mc:Fallback>
    </mc:AlternateContent>
    <mc:AlternateContent xmlns:mc="http://schemas.openxmlformats.org/markup-compatibility/2006">
      <mc:Choice Requires="x14">
        <control shapeId="2064" r:id="rId18" name="ORingCheckBox">
          <controlPr defaultSize="0" autoLine="0" r:id="rId19">
            <anchor moveWithCells="1">
              <from>
                <xdr:col>12</xdr:col>
                <xdr:colOff>0</xdr:colOff>
                <xdr:row>18</xdr:row>
                <xdr:rowOff>0</xdr:rowOff>
              </from>
              <to>
                <xdr:col>14</xdr:col>
                <xdr:colOff>142875</xdr:colOff>
                <xdr:row>19</xdr:row>
                <xdr:rowOff>0</xdr:rowOff>
              </to>
            </anchor>
          </controlPr>
        </control>
      </mc:Choice>
      <mc:Fallback>
        <control shapeId="2064" r:id="rId18" name="ORingCheckBox"/>
      </mc:Fallback>
    </mc:AlternateContent>
    <mc:AlternateContent xmlns:mc="http://schemas.openxmlformats.org/markup-compatibility/2006">
      <mc:Choice Requires="x14">
        <control shapeId="2067" r:id="rId20" name="OtherCheckBox">
          <controlPr defaultSize="0" autoLine="0" r:id="rId21">
            <anchor moveWithCells="1">
              <from>
                <xdr:col>14</xdr:col>
                <xdr:colOff>228600</xdr:colOff>
                <xdr:row>18</xdr:row>
                <xdr:rowOff>0</xdr:rowOff>
              </from>
              <to>
                <xdr:col>18</xdr:col>
                <xdr:colOff>0</xdr:colOff>
                <xdr:row>19</xdr:row>
                <xdr:rowOff>0</xdr:rowOff>
              </to>
            </anchor>
          </controlPr>
        </control>
      </mc:Choice>
      <mc:Fallback>
        <control shapeId="2067" r:id="rId20" name="OtherCheckBox"/>
      </mc:Fallback>
    </mc:AlternateContent>
    <mc:AlternateContent xmlns:mc="http://schemas.openxmlformats.org/markup-compatibility/2006">
      <mc:Choice Requires="x14">
        <control shapeId="2068" r:id="rId22" name="AfterNoLeakCheckBox">
          <controlPr defaultSize="0" autoLine="0" r:id="rId23">
            <anchor moveWithCells="1">
              <from>
                <xdr:col>21</xdr:col>
                <xdr:colOff>123825</xdr:colOff>
                <xdr:row>17</xdr:row>
                <xdr:rowOff>209550</xdr:rowOff>
              </from>
              <to>
                <xdr:col>23</xdr:col>
                <xdr:colOff>409575</xdr:colOff>
                <xdr:row>18</xdr:row>
                <xdr:rowOff>209550</xdr:rowOff>
              </to>
            </anchor>
          </controlPr>
        </control>
      </mc:Choice>
      <mc:Fallback>
        <control shapeId="2068" r:id="rId22" name="AfterNoLeakCheckBox"/>
      </mc:Fallback>
    </mc:AlternateContent>
    <mc:AlternateContent xmlns:mc="http://schemas.openxmlformats.org/markup-compatibility/2006">
      <mc:Choice Requires="x14">
        <control shapeId="2070" r:id="rId24" name="AfterLeakCheckBox">
          <controlPr defaultSize="0" autoLine="0" r:id="rId25">
            <anchor moveWithCells="1">
              <from>
                <xdr:col>21</xdr:col>
                <xdr:colOff>123825</xdr:colOff>
                <xdr:row>17</xdr:row>
                <xdr:rowOff>0</xdr:rowOff>
              </from>
              <to>
                <xdr:col>24</xdr:col>
                <xdr:colOff>0</xdr:colOff>
                <xdr:row>17</xdr:row>
                <xdr:rowOff>266700</xdr:rowOff>
              </to>
            </anchor>
          </controlPr>
        </control>
      </mc:Choice>
      <mc:Fallback>
        <control shapeId="2070" r:id="rId24" name="AfterLeakCheckBox"/>
      </mc:Fallback>
    </mc:AlternateContent>
    <mc:AlternateContent xmlns:mc="http://schemas.openxmlformats.org/markup-compatibility/2006">
      <mc:Choice Requires="x14">
        <control shapeId="2071" r:id="rId26" name="AfterNotCoveredCheckBox">
          <controlPr defaultSize="0" autoLine="0" r:id="rId27">
            <anchor moveWithCells="1">
              <from>
                <xdr:col>21</xdr:col>
                <xdr:colOff>133350</xdr:colOff>
                <xdr:row>18</xdr:row>
                <xdr:rowOff>66675</xdr:rowOff>
              </from>
              <to>
                <xdr:col>24</xdr:col>
                <xdr:colOff>0</xdr:colOff>
                <xdr:row>19</xdr:row>
                <xdr:rowOff>0</xdr:rowOff>
              </to>
            </anchor>
          </controlPr>
        </control>
      </mc:Choice>
      <mc:Fallback>
        <control shapeId="2071" r:id="rId26" name="AfterNotCoveredCheckBox"/>
      </mc:Fallback>
    </mc:AlternateContent>
    <mc:AlternateContent xmlns:mc="http://schemas.openxmlformats.org/markup-compatibility/2006">
      <mc:Choice Requires="x14">
        <control shapeId="2072" r:id="rId28" name="PassCheckBox">
          <controlPr defaultSize="0" autoLine="0" r:id="rId29">
            <anchor moveWithCells="1">
              <from>
                <xdr:col>4</xdr:col>
                <xdr:colOff>152400</xdr:colOff>
                <xdr:row>63</xdr:row>
                <xdr:rowOff>0</xdr:rowOff>
              </from>
              <to>
                <xdr:col>6</xdr:col>
                <xdr:colOff>0</xdr:colOff>
                <xdr:row>63</xdr:row>
                <xdr:rowOff>314325</xdr:rowOff>
              </to>
            </anchor>
          </controlPr>
        </control>
      </mc:Choice>
      <mc:Fallback>
        <control shapeId="2072" r:id="rId28" name="PassCheckBox"/>
      </mc:Fallback>
    </mc:AlternateContent>
    <mc:AlternateContent xmlns:mc="http://schemas.openxmlformats.org/markup-compatibility/2006">
      <mc:Choice Requires="x14">
        <control shapeId="2073" r:id="rId30" name="WarningCheckBox">
          <controlPr defaultSize="0" autoLine="0" r:id="rId31">
            <anchor moveWithCells="1">
              <from>
                <xdr:col>4</xdr:col>
                <xdr:colOff>133350</xdr:colOff>
                <xdr:row>63</xdr:row>
                <xdr:rowOff>209550</xdr:rowOff>
              </from>
              <to>
                <xdr:col>5</xdr:col>
                <xdr:colOff>638175</xdr:colOff>
                <xdr:row>64</xdr:row>
                <xdr:rowOff>142875</xdr:rowOff>
              </to>
            </anchor>
          </controlPr>
        </control>
      </mc:Choice>
      <mc:Fallback>
        <control shapeId="2073" r:id="rId30" name="WarningCheckBox"/>
      </mc:Fallback>
    </mc:AlternateContent>
    <mc:AlternateContent xmlns:mc="http://schemas.openxmlformats.org/markup-compatibility/2006">
      <mc:Choice Requires="x14">
        <control shapeId="2074" r:id="rId32" name="FailureCheckBox">
          <controlPr defaultSize="0" autoLine="0" r:id="rId33">
            <anchor moveWithCells="1">
              <from>
                <xdr:col>4</xdr:col>
                <xdr:colOff>152400</xdr:colOff>
                <xdr:row>64</xdr:row>
                <xdr:rowOff>66675</xdr:rowOff>
              </from>
              <to>
                <xdr:col>6</xdr:col>
                <xdr:colOff>0</xdr:colOff>
                <xdr:row>65</xdr:row>
                <xdr:rowOff>0</xdr:rowOff>
              </to>
            </anchor>
          </controlPr>
        </control>
      </mc:Choice>
      <mc:Fallback>
        <control shapeId="2074" r:id="rId32" name="FailureCheckBox"/>
      </mc:Fallback>
    </mc:AlternateContent>
    <mc:AlternateContent xmlns:mc="http://schemas.openxmlformats.org/markup-compatibility/2006">
      <mc:Choice Requires="x14">
        <control shapeId="2088" r:id="rId34" name="NotCoveredCheckBox">
          <controlPr defaultSize="0" autoLine="0" r:id="rId35">
            <anchor moveWithCells="1">
              <from>
                <xdr:col>14</xdr:col>
                <xdr:colOff>142875</xdr:colOff>
                <xdr:row>17</xdr:row>
                <xdr:rowOff>0</xdr:rowOff>
              </from>
              <to>
                <xdr:col>18</xdr:col>
                <xdr:colOff>0</xdr:colOff>
                <xdr:row>18</xdr:row>
                <xdr:rowOff>0</xdr:rowOff>
              </to>
            </anchor>
          </controlPr>
        </control>
      </mc:Choice>
      <mc:Fallback>
        <control shapeId="2088" r:id="rId34" name="NotCoveredCheckBox"/>
      </mc:Fallback>
    </mc:AlternateContent>
    <mc:AlternateContent xmlns:mc="http://schemas.openxmlformats.org/markup-compatibility/2006">
      <mc:Choice Requires="x14">
        <control shapeId="2049" r:id="rId36" name="Button 1">
          <controlPr defaultSize="0" print="0" autoFill="0" autoPict="0" macro="[0]!CreateTestRecordCertificate">
            <anchor moveWithCells="1" sizeWithCells="1">
              <from>
                <xdr:col>25</xdr:col>
                <xdr:colOff>0</xdr:colOff>
                <xdr:row>1</xdr:row>
                <xdr:rowOff>133350</xdr:rowOff>
              </from>
              <to>
                <xdr:col>26</xdr:col>
                <xdr:colOff>266700</xdr:colOff>
                <xdr:row>6</xdr:row>
                <xdr:rowOff>9525</xdr:rowOff>
              </to>
            </anchor>
          </controlPr>
        </control>
      </mc:Choice>
    </mc:AlternateContent>
    <mc:AlternateContent xmlns:mc="http://schemas.openxmlformats.org/markup-compatibility/2006">
      <mc:Choice Requires="x14">
        <control shapeId="2050" r:id="rId37" name="Button 2">
          <controlPr defaultSize="0" print="0" autoFill="0" autoPict="0" macro="[0]!PreSaveTestRecordCertificate">
            <anchor moveWithCells="1" sizeWithCells="1">
              <from>
                <xdr:col>25</xdr:col>
                <xdr:colOff>0</xdr:colOff>
                <xdr:row>7</xdr:row>
                <xdr:rowOff>47625</xdr:rowOff>
              </from>
              <to>
                <xdr:col>26</xdr:col>
                <xdr:colOff>342900</xdr:colOff>
                <xdr:row>11</xdr:row>
                <xdr:rowOff>104775</xdr:rowOff>
              </to>
            </anchor>
          </controlPr>
        </control>
      </mc:Choice>
    </mc:AlternateContent>
    <mc:AlternateContent xmlns:mc="http://schemas.openxmlformats.org/markup-compatibility/2006">
      <mc:Choice Requires="x14">
        <control shapeId="2052" r:id="rId38" name="Button 4">
          <controlPr defaultSize="0" print="0" autoFill="0" autoPict="0" macro="[0]!Sheet3.OverwriteSaveTestRecordCertificate">
            <anchor moveWithCells="1" sizeWithCells="1">
              <from>
                <xdr:col>27</xdr:col>
                <xdr:colOff>171450</xdr:colOff>
                <xdr:row>2</xdr:row>
                <xdr:rowOff>19050</xdr:rowOff>
              </from>
              <to>
                <xdr:col>30</xdr:col>
                <xdr:colOff>76200</xdr:colOff>
                <xdr:row>6</xdr:row>
                <xdr:rowOff>104775</xdr:rowOff>
              </to>
            </anchor>
          </controlPr>
        </control>
      </mc:Choice>
    </mc:AlternateContent>
    <mc:AlternateContent xmlns:mc="http://schemas.openxmlformats.org/markup-compatibility/2006">
      <mc:Choice Requires="x14">
        <control shapeId="2054" r:id="rId39" name="Button 6">
          <controlPr defaultSize="0" print="0" autoFill="0" autoPict="0" macro="[0]!Sheet3.ChkPrint">
            <anchor moveWithCells="1" sizeWithCells="1">
              <from>
                <xdr:col>25</xdr:col>
                <xdr:colOff>0</xdr:colOff>
                <xdr:row>13</xdr:row>
                <xdr:rowOff>0</xdr:rowOff>
              </from>
              <to>
                <xdr:col>26</xdr:col>
                <xdr:colOff>381000</xdr:colOff>
                <xdr:row>16</xdr:row>
                <xdr:rowOff>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data</vt:lpstr>
      <vt:lpstr>ラベルリスト</vt:lpstr>
      <vt:lpstr>検定記録書</vt:lpstr>
      <vt:lpstr>検定記録書!Print_Area</vt:lpstr>
    </vt:vector>
  </TitlesOfParts>
  <Company>Phramacia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ＩＳ</dc:creator>
  <cp:lastModifiedBy>Umayahra</cp:lastModifiedBy>
  <cp:lastPrinted>2016-11-25T09:42:15Z</cp:lastPrinted>
  <dcterms:created xsi:type="dcterms:W3CDTF">1997-06-19T07:40:59Z</dcterms:created>
  <dcterms:modified xsi:type="dcterms:W3CDTF">2016-12-05T06:59:15Z</dcterms:modified>
</cp:coreProperties>
</file>
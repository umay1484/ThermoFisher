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5" yWindow="45" windowWidth="20730" windowHeight="5460" tabRatio="928" firstSheet="1" activeTab="2"/>
  </bookViews>
  <sheets>
    <sheet name="data" sheetId="32" state="hidden" r:id="rId1"/>
    <sheet name="ラベルリスト" sheetId="34" r:id="rId2"/>
    <sheet name="検定記録書" sheetId="33" r:id="rId3"/>
  </sheets>
  <functionGroups builtInGroupCount="17"/>
  <definedNames>
    <definedName name="_xlnm.Print_Area" localSheetId="2">検定記録書!$A$1:$X$67</definedName>
  </definedNames>
  <calcPr calcId="145621"/>
</workbook>
</file>

<file path=xl/calcChain.xml><?xml version="1.0" encoding="utf-8"?>
<calcChain xmlns="http://schemas.openxmlformats.org/spreadsheetml/2006/main">
  <c r="E64" i="33" l="1"/>
  <c r="Z56" i="33" l="1"/>
  <c r="R41" i="33" l="1"/>
  <c r="G41" i="33"/>
  <c r="R40" i="33" l="1"/>
  <c r="J44" i="33" l="1"/>
  <c r="R48" i="33"/>
  <c r="R45" i="33"/>
  <c r="R44" i="33"/>
  <c r="R47" i="33"/>
  <c r="R46" i="33"/>
  <c r="J48" i="33"/>
  <c r="J47" i="33"/>
  <c r="J46" i="33"/>
  <c r="J45" i="33"/>
  <c r="R49" i="33" l="1"/>
  <c r="R50" i="33" s="1"/>
  <c r="J49" i="33"/>
  <c r="J50" i="33" s="1"/>
  <c r="R51" i="33" l="1"/>
  <c r="J51" i="33"/>
</calcChain>
</file>

<file path=xl/sharedStrings.xml><?xml version="1.0" encoding="utf-8"?>
<sst xmlns="http://schemas.openxmlformats.org/spreadsheetml/2006/main" count="255" uniqueCount="220">
  <si>
    <t>判定基準</t>
    <rPh sb="0" eb="2">
      <t>ハンテイ</t>
    </rPh>
    <rPh sb="2" eb="4">
      <t>キジュン</t>
    </rPh>
    <phoneticPr fontId="1"/>
  </si>
  <si>
    <t>備考</t>
    <rPh sb="0" eb="2">
      <t>ビコウ</t>
    </rPh>
    <phoneticPr fontId="1"/>
  </si>
  <si>
    <t>判定
年月日</t>
    <rPh sb="0" eb="2">
      <t>ハンテイ</t>
    </rPh>
    <phoneticPr fontId="1"/>
  </si>
  <si>
    <t>　点　検
　担当者</t>
    <rPh sb="1" eb="2">
      <t>テン</t>
    </rPh>
    <rPh sb="3" eb="4">
      <t>ケン</t>
    </rPh>
    <rPh sb="6" eb="9">
      <t>タントウシャ</t>
    </rPh>
    <phoneticPr fontId="1"/>
  </si>
  <si>
    <t>オートピペット性能試験報告書</t>
    <rPh sb="7" eb="9">
      <t>セイノウ</t>
    </rPh>
    <rPh sb="11" eb="14">
      <t>ホウコクショ</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</si>
  <si>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</si>
  <si>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</si>
  <si>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</si>
  <si>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</si>
  <si>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外観：異常なし、リークテスト：リークなし</t>
    <rPh sb="0" eb="1">
      <t>ソト</t>
    </rPh>
    <rPh sb="1" eb="2">
      <t>カン</t>
    </rPh>
    <rPh sb="3" eb="5">
      <t>イジョウ</t>
    </rPh>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</si>
  <si>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</si>
  <si>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管理ＮＯ．</t>
    <rPh sb="0" eb="2">
      <t>カンリ</t>
    </rPh>
    <phoneticPr fontId="14"/>
  </si>
  <si>
    <t>C:\ピペット\</t>
    <phoneticPr fontId="1"/>
  </si>
  <si>
    <t>管理台帳：ファイル名</t>
    <rPh sb="0" eb="4">
      <t>カンリダイチョウ</t>
    </rPh>
    <rPh sb="9" eb="10">
      <t>メイ</t>
    </rPh>
    <phoneticPr fontId="1"/>
  </si>
  <si>
    <t>管理台帳：シート名</t>
    <rPh sb="8" eb="9">
      <t>メイ</t>
    </rPh>
    <phoneticPr fontId="1"/>
  </si>
  <si>
    <t>検定記録書：管理番号</t>
    <rPh sb="0" eb="2">
      <t>ケンテイ</t>
    </rPh>
    <rPh sb="2" eb="5">
      <t>キロクショ</t>
    </rPh>
    <phoneticPr fontId="1"/>
  </si>
  <si>
    <t>検定記録書：検定範囲</t>
    <rPh sb="0" eb="2">
      <t>ケンテイ</t>
    </rPh>
    <rPh sb="2" eb="5">
      <t>キロクショ</t>
    </rPh>
    <rPh sb="6" eb="8">
      <t>ケンンテイ</t>
    </rPh>
    <rPh sb="8" eb="10">
      <t>ハンイ</t>
    </rPh>
    <phoneticPr fontId="1"/>
  </si>
  <si>
    <t>検定記録書：検定実施日</t>
    <rPh sb="0" eb="2">
      <t>ケンテイ</t>
    </rPh>
    <rPh sb="2" eb="5">
      <t>キロクショ</t>
    </rPh>
    <rPh sb="6" eb="8">
      <t>ケンテイ</t>
    </rPh>
    <rPh sb="8" eb="11">
      <t>ジッシビ</t>
    </rPh>
    <phoneticPr fontId="1"/>
  </si>
  <si>
    <t>検定記録書：メーカー・型式</t>
    <rPh sb="0" eb="2">
      <t>ケンテイ</t>
    </rPh>
    <rPh sb="2" eb="5">
      <t>キロクショ</t>
    </rPh>
    <phoneticPr fontId="1"/>
  </si>
  <si>
    <t>検定記録書：判定年月日</t>
    <rPh sb="0" eb="2">
      <t>ケンテイ</t>
    </rPh>
    <rPh sb="2" eb="5">
      <t>キロクショ</t>
    </rPh>
    <rPh sb="6" eb="8">
      <t>ハンテイ</t>
    </rPh>
    <rPh sb="8" eb="11">
      <t>ネンガッピ</t>
    </rPh>
    <phoneticPr fontId="1"/>
  </si>
  <si>
    <t>検定記録書：検定実施者</t>
    <rPh sb="0" eb="2">
      <t>ケンテイ</t>
    </rPh>
    <rPh sb="2" eb="5">
      <t>キロクショ</t>
    </rPh>
    <rPh sb="6" eb="8">
      <t>ケンテイ</t>
    </rPh>
    <rPh sb="8" eb="11">
      <t>ジッシシャ</t>
    </rPh>
    <phoneticPr fontId="1"/>
  </si>
  <si>
    <t>検定記録書：保存先親フォルダ</t>
    <rPh sb="6" eb="9">
      <t>ホゾンサキ</t>
    </rPh>
    <rPh sb="9" eb="10">
      <t>オヤ</t>
    </rPh>
    <phoneticPr fontId="1"/>
  </si>
  <si>
    <t>検定実施者</t>
    <rPh sb="0" eb="2">
      <t>ケンテイ</t>
    </rPh>
    <rPh sb="2" eb="5">
      <t>ジッシシャ</t>
    </rPh>
    <phoneticPr fontId="1"/>
  </si>
  <si>
    <t>JTP1</t>
    <phoneticPr fontId="1"/>
  </si>
  <si>
    <t>JTP2</t>
    <phoneticPr fontId="1"/>
  </si>
  <si>
    <t>JTP3</t>
  </si>
  <si>
    <t>JTP4</t>
  </si>
  <si>
    <t>JTP5</t>
  </si>
  <si>
    <t>管理台帳項目リスト</t>
    <rPh sb="0" eb="4">
      <t>カンリダイチョウ</t>
    </rPh>
    <rPh sb="4" eb="6">
      <t>コウモク</t>
    </rPh>
    <phoneticPr fontId="1"/>
  </si>
  <si>
    <t>検定記録書項目リスト</t>
    <rPh sb="0" eb="5">
      <t>ケンテイキロクショ</t>
    </rPh>
    <rPh sb="5" eb="7">
      <t>コウモク</t>
    </rPh>
    <phoneticPr fontId="1"/>
  </si>
  <si>
    <t>検定記録書：前回交換日</t>
    <rPh sb="0" eb="2">
      <t>ケンテイ</t>
    </rPh>
    <rPh sb="2" eb="5">
      <t>キロクショ</t>
    </rPh>
    <rPh sb="6" eb="8">
      <t>ゼンカイ</t>
    </rPh>
    <rPh sb="8" eb="10">
      <t>コウカン</t>
    </rPh>
    <rPh sb="10" eb="11">
      <t>ヒ</t>
    </rPh>
    <phoneticPr fontId="1"/>
  </si>
  <si>
    <t>橋本知代子</t>
  </si>
  <si>
    <t>検定記録書：性能試験回数</t>
    <rPh sb="0" eb="2">
      <t>ケンテイ</t>
    </rPh>
    <rPh sb="2" eb="5">
      <t>キロクショ</t>
    </rPh>
    <rPh sb="6" eb="8">
      <t>セイノウ</t>
    </rPh>
    <rPh sb="8" eb="10">
      <t>シケン</t>
    </rPh>
    <rPh sb="10" eb="12">
      <t>カイスウ</t>
    </rPh>
    <phoneticPr fontId="1"/>
  </si>
  <si>
    <t>検定記録書：水温</t>
    <rPh sb="0" eb="2">
      <t>ケンテイ</t>
    </rPh>
    <rPh sb="2" eb="5">
      <t>キロクショ</t>
    </rPh>
    <rPh sb="6" eb="8">
      <t>スイオン</t>
    </rPh>
    <phoneticPr fontId="1"/>
  </si>
  <si>
    <t>ISO 8655-6:2002(E)より</t>
    <phoneticPr fontId="3"/>
  </si>
  <si>
    <t>Z factor (1,013 hPa)</t>
    <phoneticPr fontId="3"/>
  </si>
  <si>
    <t>ﾟC</t>
  </si>
  <si>
    <t xml:space="preserve"> μL/mg</t>
    <phoneticPr fontId="3"/>
  </si>
  <si>
    <t>オートピペット Calibration</t>
    <phoneticPr fontId="1"/>
  </si>
  <si>
    <t>Documents 
Title</t>
    <phoneticPr fontId="1"/>
  </si>
  <si>
    <t>検定記録書  （様式－１）</t>
    <rPh sb="0" eb="2">
      <t>ケンテイ</t>
    </rPh>
    <rPh sb="2" eb="5">
      <t>キロクショ</t>
    </rPh>
    <rPh sb="8" eb="10">
      <t>ヨウシキ</t>
    </rPh>
    <phoneticPr fontId="1"/>
  </si>
  <si>
    <t>SOPT-C01４</t>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</si>
  <si>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</si>
  <si>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</si>
  <si>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品　名</t>
    <phoneticPr fontId="1"/>
  </si>
  <si>
    <t>オートピペット</t>
    <phoneticPr fontId="1"/>
  </si>
  <si>
    <t>検定実施日</t>
    <phoneticPr fontId="1"/>
  </si>
  <si>
    <t>管理No.</t>
    <phoneticPr fontId="1"/>
  </si>
  <si>
    <t>メーカー・型式</t>
    <phoneticPr fontId="1"/>
  </si>
  <si>
    <t>検定範囲</t>
    <rPh sb="0" eb="2">
      <t>ケンテイ</t>
    </rPh>
    <rPh sb="2" eb="4">
      <t>ハンイ</t>
    </rPh>
    <phoneticPr fontId="1"/>
  </si>
  <si>
    <t>外観検査</t>
    <phoneticPr fontId="1"/>
  </si>
  <si>
    <t>リークテスト</t>
    <phoneticPr fontId="1"/>
  </si>
  <si>
    <t>部品交換</t>
    <phoneticPr fontId="1"/>
  </si>
  <si>
    <t>部品交換後のリークテスト</t>
    <rPh sb="0" eb="2">
      <t>ブヒン</t>
    </rPh>
    <rPh sb="2" eb="4">
      <t>コウカン</t>
    </rPh>
    <rPh sb="4" eb="5">
      <t>ゴ</t>
    </rPh>
    <phoneticPr fontId="1"/>
  </si>
  <si>
    <t>水温</t>
    <rPh sb="0" eb="2">
      <t>スイオン</t>
    </rPh>
    <phoneticPr fontId="3"/>
  </si>
  <si>
    <t>天秤識別番号</t>
    <rPh sb="0" eb="2">
      <t>テンビン</t>
    </rPh>
    <rPh sb="2" eb="4">
      <t>シキベツ</t>
    </rPh>
    <rPh sb="4" eb="6">
      <t>バンゴウ</t>
    </rPh>
    <phoneticPr fontId="3"/>
  </si>
  <si>
    <t>試験回数</t>
    <rPh sb="0" eb="4">
      <t>シケンカイスウ</t>
    </rPh>
    <phoneticPr fontId="3"/>
  </si>
  <si>
    <t>n</t>
    <phoneticPr fontId="3"/>
  </si>
  <si>
    <t>平均値(μL)</t>
    <rPh sb="0" eb="2">
      <t>ヘイキン</t>
    </rPh>
    <rPh sb="2" eb="3">
      <t>チ</t>
    </rPh>
    <phoneticPr fontId="3"/>
  </si>
  <si>
    <t>ｽﾞﾚ(%)</t>
    <phoneticPr fontId="3"/>
  </si>
  <si>
    <t>変動係数(%)</t>
    <rPh sb="0" eb="2">
      <t>ヘンドウ</t>
    </rPh>
    <rPh sb="2" eb="4">
      <t>ケイスウ</t>
    </rPh>
    <phoneticPr fontId="3"/>
  </si>
  <si>
    <t>判定</t>
    <rPh sb="0" eb="2">
      <t>ハンテイ</t>
    </rPh>
    <phoneticPr fontId="1"/>
  </si>
  <si>
    <t>点検   　   責任者</t>
    <rPh sb="0" eb="2">
      <t>テンケン</t>
    </rPh>
    <rPh sb="9" eb="12">
      <t>セキニンシャ</t>
    </rPh>
    <phoneticPr fontId="1"/>
  </si>
  <si>
    <t>℃(温度計NO.SAS-4032)</t>
    <rPh sb="2" eb="5">
      <t>オンドケイ</t>
    </rPh>
    <phoneticPr fontId="1"/>
  </si>
  <si>
    <t>検体最大容量</t>
    <rPh sb="0" eb="2">
      <t>ケンタイ</t>
    </rPh>
    <rPh sb="2" eb="4">
      <t>サイダイ</t>
    </rPh>
    <rPh sb="4" eb="6">
      <t>ヨウリョウ</t>
    </rPh>
    <phoneticPr fontId="1"/>
  </si>
  <si>
    <t>質量(mg)</t>
    <rPh sb="0" eb="2">
      <t>シツリョウ</t>
    </rPh>
    <phoneticPr fontId="1"/>
  </si>
  <si>
    <t>μL</t>
    <phoneticPr fontId="1"/>
  </si>
  <si>
    <t>容量</t>
    <rPh sb="0" eb="2">
      <t>ヨウリョウ</t>
    </rPh>
    <phoneticPr fontId="1"/>
  </si>
  <si>
    <t>Z Factor</t>
    <phoneticPr fontId="1"/>
  </si>
  <si>
    <t>検体最小容量</t>
    <rPh sb="0" eb="2">
      <t>ケンタイ</t>
    </rPh>
    <rPh sb="2" eb="4">
      <t>サイショウ</t>
    </rPh>
    <rPh sb="4" eb="6">
      <t>ヨウリョウ</t>
    </rPh>
    <phoneticPr fontId="1"/>
  </si>
  <si>
    <t>－－－－</t>
    <phoneticPr fontId="1"/>
  </si>
  <si>
    <t>－－－－</t>
    <phoneticPr fontId="1"/>
  </si>
  <si>
    <t>－－－－</t>
    <phoneticPr fontId="1"/>
  </si>
  <si>
    <t>－－－－</t>
    <phoneticPr fontId="1"/>
  </si>
  <si>
    <t>－－</t>
    <phoneticPr fontId="1"/>
  </si>
  <si>
    <t>－－－－</t>
    <phoneticPr fontId="1"/>
  </si>
  <si>
    <t>不適</t>
    <rPh sb="0" eb="2">
      <t>フテキ</t>
    </rPh>
    <phoneticPr fontId="1"/>
  </si>
  <si>
    <t>適</t>
    <rPh sb="0" eb="1">
      <t>テキ</t>
    </rPh>
    <phoneticPr fontId="1"/>
  </si>
  <si>
    <t>ATRD</t>
    <phoneticPr fontId="1"/>
  </si>
  <si>
    <t>容量</t>
    <rPh sb="0" eb="2">
      <t>ヨウリョウ</t>
    </rPh>
    <phoneticPr fontId="1"/>
  </si>
  <si>
    <t>変動係数</t>
    <rPh sb="0" eb="2">
      <t>ヘンドウ</t>
    </rPh>
    <rPh sb="2" eb="4">
      <t>ケイスウ</t>
    </rPh>
    <phoneticPr fontId="1"/>
  </si>
  <si>
    <t>適(警戒）</t>
  </si>
  <si>
    <t>20μL以下</t>
    <rPh sb="4" eb="6">
      <t>イカ</t>
    </rPh>
    <phoneticPr fontId="1"/>
  </si>
  <si>
    <t>ｽﾞﾚ</t>
    <phoneticPr fontId="1"/>
  </si>
  <si>
    <t>ｽﾞﾚ &gt; 5</t>
    <phoneticPr fontId="1"/>
  </si>
  <si>
    <t>ｽﾞﾚ &gt; 3.9</t>
    <phoneticPr fontId="1"/>
  </si>
  <si>
    <t>上記以外</t>
    <rPh sb="0" eb="2">
      <t>ジョウキ</t>
    </rPh>
    <rPh sb="2" eb="4">
      <t>イガイ</t>
    </rPh>
    <phoneticPr fontId="1"/>
  </si>
  <si>
    <t>変動係数 &gt; 2</t>
    <phoneticPr fontId="1"/>
  </si>
  <si>
    <t>10μL未満</t>
    <rPh sb="4" eb="6">
      <t>ミマン</t>
    </rPh>
    <phoneticPr fontId="1"/>
  </si>
  <si>
    <t>10μL以上</t>
    <rPh sb="4" eb="6">
      <t>イジョウ</t>
    </rPh>
    <phoneticPr fontId="1"/>
  </si>
  <si>
    <t>ｽﾞﾚ &gt; 2</t>
    <phoneticPr fontId="1"/>
  </si>
  <si>
    <t>変動係数 &gt; 1</t>
    <phoneticPr fontId="1"/>
  </si>
  <si>
    <t>20μL超</t>
    <rPh sb="4" eb="5">
      <t>コ</t>
    </rPh>
    <phoneticPr fontId="1"/>
  </si>
  <si>
    <t>前回交換実施日：</t>
    <phoneticPr fontId="1"/>
  </si>
  <si>
    <t>）回目</t>
    <phoneticPr fontId="1"/>
  </si>
  <si>
    <t>性能試験　　　（　　 　　</t>
    <rPh sb="0" eb="2">
      <t>セイノウ</t>
    </rPh>
    <rPh sb="2" eb="4">
      <t>シケン</t>
    </rPh>
    <phoneticPr fontId="3"/>
  </si>
  <si>
    <t>－－</t>
    <phoneticPr fontId="1"/>
  </si>
  <si>
    <t>小数点下３桁</t>
    <rPh sb="0" eb="3">
      <t>ショウスウテン</t>
    </rPh>
    <rPh sb="3" eb="4">
      <t>シモ</t>
    </rPh>
    <rPh sb="5" eb="6">
      <t>ケタ</t>
    </rPh>
    <phoneticPr fontId="1"/>
  </si>
  <si>
    <t>上記以外</t>
    <rPh sb="0" eb="4">
      <t>ジョウキイガイ</t>
    </rPh>
    <phoneticPr fontId="1"/>
  </si>
  <si>
    <t>小数点下2桁</t>
    <rPh sb="0" eb="3">
      <t>ショウスウテン</t>
    </rPh>
    <rPh sb="3" eb="4">
      <t>シモ</t>
    </rPh>
    <rPh sb="5" eb="6">
      <t>ケタ</t>
    </rPh>
    <phoneticPr fontId="1"/>
  </si>
  <si>
    <t>大容量</t>
    <rPh sb="0" eb="3">
      <t>ダイヨウリョウ</t>
    </rPh>
    <phoneticPr fontId="1"/>
  </si>
  <si>
    <t>0-10未満</t>
    <rPh sb="4" eb="6">
      <t>ミマン</t>
    </rPh>
    <phoneticPr fontId="1"/>
  </si>
  <si>
    <t>質量</t>
    <rPh sb="0" eb="2">
      <t>シツリョウ</t>
    </rPh>
    <phoneticPr fontId="1"/>
  </si>
  <si>
    <t>検定実施者：</t>
    <phoneticPr fontId="1"/>
  </si>
  <si>
    <t>=IFERROR(IF(ABS(J$50)&lt;=2,"適","不適"),"")</t>
    <phoneticPr fontId="1"/>
  </si>
  <si>
    <t>F14</t>
    <phoneticPr fontId="1"/>
  </si>
  <si>
    <t>F15</t>
    <phoneticPr fontId="1"/>
  </si>
  <si>
    <t>P13</t>
    <phoneticPr fontId="1"/>
  </si>
  <si>
    <t>P14</t>
    <phoneticPr fontId="1"/>
  </si>
  <si>
    <t>I18</t>
    <phoneticPr fontId="1"/>
  </si>
  <si>
    <t>J42</t>
    <phoneticPr fontId="1"/>
  </si>
  <si>
    <t>R42</t>
    <phoneticPr fontId="1"/>
  </si>
  <si>
    <t>I65</t>
    <phoneticPr fontId="1"/>
  </si>
  <si>
    <t>S65</t>
    <phoneticPr fontId="1"/>
  </si>
  <si>
    <t>G40</t>
    <phoneticPr fontId="1"/>
  </si>
  <si>
    <t>E64</t>
    <phoneticPr fontId="1"/>
  </si>
  <si>
    <t>検定記録書：判定</t>
    <rPh sb="0" eb="2">
      <t>ケンテイ</t>
    </rPh>
    <rPh sb="2" eb="5">
      <t>キロクショ</t>
    </rPh>
    <rPh sb="6" eb="8">
      <t>ハンテイ</t>
    </rPh>
    <phoneticPr fontId="1"/>
  </si>
  <si>
    <t>検定記録書：検体最大容量</t>
    <rPh sb="0" eb="2">
      <t>ケンテイ</t>
    </rPh>
    <rPh sb="2" eb="5">
      <t>キロクショ</t>
    </rPh>
    <phoneticPr fontId="1"/>
  </si>
  <si>
    <t>検定記録書：検体最小容量</t>
    <rPh sb="0" eb="2">
      <t>ケンテイ</t>
    </rPh>
    <rPh sb="2" eb="5">
      <t>キロクショ</t>
    </rPh>
    <rPh sb="9" eb="10">
      <t>ショウ</t>
    </rPh>
    <phoneticPr fontId="1"/>
  </si>
  <si>
    <t>A37</t>
    <phoneticPr fontId="1"/>
  </si>
  <si>
    <t>F</t>
    <phoneticPr fontId="1"/>
  </si>
  <si>
    <t>C</t>
    <phoneticPr fontId="1"/>
  </si>
  <si>
    <t>検定記録書：最大質量</t>
    <rPh sb="6" eb="8">
      <t>サイダイ</t>
    </rPh>
    <rPh sb="8" eb="10">
      <t>シツリョウ</t>
    </rPh>
    <phoneticPr fontId="1"/>
  </si>
  <si>
    <t>検定記録書：最小質量</t>
    <rPh sb="6" eb="8">
      <t>サイショウ</t>
    </rPh>
    <rPh sb="8" eb="10">
      <t>シツリョウ</t>
    </rPh>
    <phoneticPr fontId="1"/>
  </si>
  <si>
    <t>O44:O48</t>
    <phoneticPr fontId="1"/>
  </si>
  <si>
    <t>G44:G48</t>
    <phoneticPr fontId="1"/>
  </si>
  <si>
    <t>　　　サーモフィッシャーサイエンティフィック株式会社</t>
    <phoneticPr fontId="1"/>
  </si>
  <si>
    <t>適</t>
    <rPh sb="0" eb="1">
      <t>テキ</t>
    </rPh>
    <phoneticPr fontId="1"/>
  </si>
  <si>
    <t>Error</t>
    <phoneticPr fontId="1"/>
  </si>
  <si>
    <t>検定記録書：備考</t>
    <rPh sb="0" eb="2">
      <t>ケンテイ</t>
    </rPh>
    <rPh sb="2" eb="5">
      <t>キロクショ</t>
    </rPh>
    <rPh sb="6" eb="8">
      <t>ビコウ</t>
    </rPh>
    <phoneticPr fontId="1"/>
  </si>
  <si>
    <t>A56</t>
    <phoneticPr fontId="1"/>
  </si>
  <si>
    <t>適(警戒)</t>
    <phoneticPr fontId="1"/>
  </si>
  <si>
    <t>適(警戒)</t>
    <phoneticPr fontId="1"/>
  </si>
  <si>
    <t xml:space="preserve">　　 年 　　 　月  　　　日    </t>
    <phoneticPr fontId="1"/>
  </si>
  <si>
    <t>2017年1月.xlsx</t>
    <phoneticPr fontId="1"/>
  </si>
  <si>
    <t>G</t>
    <phoneticPr fontId="1"/>
  </si>
  <si>
    <t>H</t>
    <phoneticPr fontId="1"/>
  </si>
  <si>
    <t>J</t>
    <phoneticPr fontId="1"/>
  </si>
  <si>
    <t>K</t>
    <phoneticPr fontId="1"/>
  </si>
  <si>
    <t>Sheet1</t>
    <phoneticPr fontId="1"/>
  </si>
  <si>
    <t>ラベルリスト項目リスト</t>
    <rPh sb="6" eb="8">
      <t>コウモク</t>
    </rPh>
    <phoneticPr fontId="1"/>
  </si>
  <si>
    <t>次回検定日</t>
  </si>
  <si>
    <t>ラベルリスト：保存先親フォルダ</t>
    <rPh sb="7" eb="10">
      <t>ホゾンサキ</t>
    </rPh>
    <rPh sb="10" eb="11">
      <t>オヤ</t>
    </rPh>
    <phoneticPr fontId="1"/>
  </si>
  <si>
    <t>ラベルリスト：検定実施日</t>
    <rPh sb="7" eb="9">
      <t>ケンテイ</t>
    </rPh>
    <rPh sb="9" eb="12">
      <t>ジッシビ</t>
    </rPh>
    <phoneticPr fontId="1"/>
  </si>
  <si>
    <t>分解清掃日</t>
  </si>
  <si>
    <t>ラベルリスト：</t>
    <phoneticPr fontId="1"/>
  </si>
  <si>
    <t>検定範囲</t>
  </si>
  <si>
    <t>A</t>
    <phoneticPr fontId="1"/>
  </si>
  <si>
    <t>B</t>
    <phoneticPr fontId="1"/>
  </si>
  <si>
    <t>D</t>
    <phoneticPr fontId="1"/>
  </si>
  <si>
    <t>E</t>
    <phoneticPr fontId="1"/>
  </si>
  <si>
    <t>検定日</t>
  </si>
  <si>
    <t>ラベルリスト</t>
    <phoneticPr fontId="1"/>
  </si>
  <si>
    <t>U</t>
    <phoneticPr fontId="1"/>
  </si>
  <si>
    <t>CSK担当者</t>
    <rPh sb="3" eb="6">
      <t>タントウシャ</t>
    </rPh>
    <phoneticPr fontId="1"/>
  </si>
  <si>
    <t>齋藤智様(4241)、川上信彦様(9157)、中村裕子様(4569)</t>
    <rPh sb="23" eb="25">
      <t>ナカムラ</t>
    </rPh>
    <rPh sb="25" eb="27">
      <t>ユウコ</t>
    </rPh>
    <rPh sb="27" eb="28">
      <t>サマ</t>
    </rPh>
    <phoneticPr fontId="14"/>
  </si>
  <si>
    <t>ATRD</t>
  </si>
  <si>
    <t>LTS</t>
  </si>
  <si>
    <t>E55</t>
  </si>
  <si>
    <t>A6F</t>
  </si>
  <si>
    <t>実験室6-1</t>
    <rPh sb="0" eb="3">
      <t>ジッケンシツ</t>
    </rPh>
    <phoneticPr fontId="26"/>
  </si>
  <si>
    <t>PM</t>
  </si>
  <si>
    <t>2PM</t>
  </si>
  <si>
    <t>RAININ LTS</t>
  </si>
  <si>
    <t>R</t>
    <phoneticPr fontId="1"/>
  </si>
  <si>
    <t>ラベルリスト：ファイル名</t>
    <rPh sb="11" eb="12">
      <t>メイ</t>
    </rPh>
    <phoneticPr fontId="1"/>
  </si>
  <si>
    <t>ラベルリスト：シート名</t>
    <rPh sb="10" eb="11">
      <t>メイ</t>
    </rPh>
    <phoneticPr fontId="1"/>
  </si>
  <si>
    <t>ラベルリスト.xlsx</t>
    <phoneticPr fontId="1"/>
  </si>
  <si>
    <t>ラベルリスト：次回検定日</t>
    <phoneticPr fontId="1"/>
  </si>
  <si>
    <t>ラベルリスト：検定範囲</t>
    <phoneticPr fontId="1"/>
  </si>
  <si>
    <t>ラベルリスト：分解清掃日</t>
    <phoneticPr fontId="1"/>
  </si>
  <si>
    <t>管理台帳：管理番号の列名</t>
    <rPh sb="0" eb="2">
      <t>カンリ</t>
    </rPh>
    <rPh sb="2" eb="4">
      <t>ダイチョウ</t>
    </rPh>
    <rPh sb="5" eb="7">
      <t>カンリ</t>
    </rPh>
    <rPh sb="7" eb="9">
      <t>バンゴウ</t>
    </rPh>
    <rPh sb="10" eb="12">
      <t>レツメイ</t>
    </rPh>
    <phoneticPr fontId="1"/>
  </si>
  <si>
    <t>管理台帳：部門の列名</t>
    <rPh sb="5" eb="7">
      <t>ブモン</t>
    </rPh>
    <rPh sb="8" eb="9">
      <t>レツ</t>
    </rPh>
    <rPh sb="9" eb="10">
      <t>メイ</t>
    </rPh>
    <phoneticPr fontId="1"/>
  </si>
  <si>
    <t>管理台帳：分解実施日の列名</t>
    <rPh sb="5" eb="10">
      <t>ブンカイジッシヒ</t>
    </rPh>
    <phoneticPr fontId="1"/>
  </si>
  <si>
    <t>管理台帳：メーカーの列名</t>
    <phoneticPr fontId="1"/>
  </si>
  <si>
    <t>管理台帳：型式の列名</t>
    <rPh sb="5" eb="7">
      <t>カタシキ</t>
    </rPh>
    <phoneticPr fontId="1"/>
  </si>
  <si>
    <t>管理台帳：検定実施日の列名</t>
    <rPh sb="5" eb="7">
      <t>ケンテイ</t>
    </rPh>
    <rPh sb="7" eb="10">
      <t>ジッシビ</t>
    </rPh>
    <phoneticPr fontId="1"/>
  </si>
  <si>
    <t>管理台帳：次回検定日の列名</t>
    <rPh sb="5" eb="7">
      <t>ジカイ</t>
    </rPh>
    <rPh sb="7" eb="10">
      <t>ケンテイビ</t>
    </rPh>
    <phoneticPr fontId="1"/>
  </si>
  <si>
    <t>管理台帳：ch数の列名</t>
    <rPh sb="7" eb="8">
      <t>スウ</t>
    </rPh>
    <phoneticPr fontId="1"/>
  </si>
  <si>
    <t>管理台帳：最小最大容量の列名</t>
    <rPh sb="5" eb="7">
      <t>サイショウ</t>
    </rPh>
    <rPh sb="7" eb="9">
      <t>サイダイ</t>
    </rPh>
    <rPh sb="9" eb="11">
      <t>ヨウリョウ</t>
    </rPh>
    <phoneticPr fontId="1"/>
  </si>
  <si>
    <t>V</t>
    <phoneticPr fontId="1"/>
  </si>
  <si>
    <t>管理台帳：管理データ開始行</t>
    <rPh sb="5" eb="7">
      <t>カンリ</t>
    </rPh>
    <rPh sb="10" eb="12">
      <t>カイシ</t>
    </rPh>
    <rPh sb="12" eb="13">
      <t>ギョウ</t>
    </rPh>
    <phoneticPr fontId="1"/>
  </si>
  <si>
    <t>I</t>
    <phoneticPr fontId="1"/>
  </si>
  <si>
    <t>管理台帳：保存先フォルダ</t>
    <rPh sb="0" eb="2">
      <t>カンリ</t>
    </rPh>
    <rPh sb="2" eb="4">
      <t>ダイチョウ</t>
    </rPh>
    <rPh sb="5" eb="8">
      <t>ホゾンサキ</t>
    </rPh>
    <phoneticPr fontId="1"/>
  </si>
  <si>
    <t>W</t>
    <phoneticPr fontId="1"/>
  </si>
  <si>
    <t>管理台帳：検定回数の列名</t>
    <phoneticPr fontId="1"/>
  </si>
  <si>
    <t>RAININ</t>
  </si>
  <si>
    <t>20-200uL</t>
  </si>
  <si>
    <t>200μL - 20μL</t>
  </si>
  <si>
    <t>検定記録書：ファイル名</t>
    <rPh sb="0" eb="2">
      <t>ケンテイ</t>
    </rPh>
    <rPh sb="2" eb="5">
      <t>キロクショ</t>
    </rPh>
    <rPh sb="10" eb="11">
      <t>メイ</t>
    </rPh>
    <phoneticPr fontId="1"/>
  </si>
  <si>
    <t>検定記録書：シート名</t>
    <rPh sb="0" eb="2">
      <t>ケンテイ</t>
    </rPh>
    <rPh sb="2" eb="5">
      <t>キロクショ</t>
    </rPh>
    <rPh sb="9" eb="10">
      <t>メイ</t>
    </rPh>
    <phoneticPr fontId="1"/>
  </si>
  <si>
    <t>オートピペット案 RU 20161122.xlsm</t>
    <phoneticPr fontId="1"/>
  </si>
  <si>
    <t>ラベルリスト：ラベルリストデータ開始行</t>
    <rPh sb="16" eb="18">
      <t>カイシ</t>
    </rPh>
    <rPh sb="18" eb="19">
      <t>ギョウ</t>
    </rPh>
    <phoneticPr fontId="1"/>
  </si>
  <si>
    <t>ラベルリスト：管理番号</t>
    <phoneticPr fontId="1"/>
  </si>
  <si>
    <t>管理部署
（CPMC管理機器のみ○を付ける）</t>
    <phoneticPr fontId="14"/>
  </si>
  <si>
    <t>Equipment Group</t>
    <phoneticPr fontId="1"/>
  </si>
  <si>
    <t>GEHC Barcode</t>
    <phoneticPr fontId="1"/>
  </si>
  <si>
    <t>TFS Barcode</t>
    <phoneticPr fontId="14"/>
  </si>
  <si>
    <t>Dept.</t>
    <phoneticPr fontId="1"/>
  </si>
  <si>
    <t>Item Number</t>
    <phoneticPr fontId="1"/>
  </si>
  <si>
    <t>Manufacturer</t>
    <phoneticPr fontId="1"/>
  </si>
  <si>
    <t>Equipment Name</t>
    <phoneticPr fontId="25"/>
  </si>
  <si>
    <t>Model Number</t>
    <phoneticPr fontId="1"/>
  </si>
  <si>
    <t>Customer Asset Number</t>
    <phoneticPr fontId="1"/>
  </si>
  <si>
    <t>Serial Number</t>
    <phoneticPr fontId="1"/>
  </si>
  <si>
    <t>Building Number</t>
    <phoneticPr fontId="14"/>
  </si>
  <si>
    <t>Floor</t>
    <phoneticPr fontId="1"/>
  </si>
  <si>
    <t>Room No.
(VQDI)</t>
    <phoneticPr fontId="14"/>
  </si>
  <si>
    <t>Room Name</t>
    <phoneticPr fontId="1"/>
  </si>
  <si>
    <t xml:space="preserve">Service Level </t>
    <phoneticPr fontId="1"/>
  </si>
  <si>
    <t>Number of PM</t>
    <phoneticPr fontId="1"/>
  </si>
  <si>
    <t xml:space="preserve">PM Schedule
</t>
    <phoneticPr fontId="1"/>
  </si>
  <si>
    <t>検定実施日</t>
    <phoneticPr fontId="26"/>
  </si>
  <si>
    <t>PIPETTE</t>
    <phoneticPr fontId="1"/>
  </si>
  <si>
    <t>18113</t>
  </si>
  <si>
    <t>RY02</t>
  </si>
  <si>
    <t>12ch（12連）</t>
    <rPh sb="7" eb="8">
      <t>レン</t>
    </rPh>
    <phoneticPr fontId="14"/>
  </si>
  <si>
    <t>K0210953A</t>
  </si>
  <si>
    <t>4,x</t>
  </si>
  <si>
    <t>4, 10</t>
    <phoneticPr fontId="14"/>
  </si>
</sst>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_);[Red]\(0\)"/>
    <numFmt numFmtId="177" formatCode="[DBNum1][$-411]General"/>
    <numFmt numFmtId="178" formatCode="yyyy&quot;年&quot;mm&quot;月&quot;dd&quot;日&quot;"/>
    <numFmt numFmtId="179" formatCode="0.00000_ "/>
    <numFmt numFmtId="180" formatCode="0.0_ "/>
    <numFmt numFmtId="181" formatCode="0.0000_ "/>
    <numFmt numFmtId="182" formatCode="0.0_);[Red]\(0.0\)"/>
    <numFmt numFmtId="183" formatCode="0.000_);[Red]\(0.000\)"/>
    <numFmt numFmtId="184" formatCode="0.0000_);[Red]\(0.0000\)"/>
    <numFmt numFmtId="185" formatCode="0.00000_);[Red]\(0.00000\)"/>
    <numFmt numFmtId="186" formatCode="&quot;&quot;"/>
  </numFmts>
  <fonts count="27">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sz val="11"/>
      <name val="ＭＳ Ｐゴシック"/>
      <family val="3"/>
      <charset val="128"/>
      <scheme val="minor"/>
    </font>
    <font>
      <sz val="16"/>
      <name val="ＭＳ Ｐゴシック"/>
      <family val="3"/>
      <charset val="128"/>
      <scheme val="minor"/>
    </font>
    <font>
      <b/>
      <sz val="16"/>
      <name val="ＭＳ Ｐゴシック"/>
      <family val="3"/>
      <charset val="128"/>
      <scheme val="minor"/>
    </font>
    <font>
      <sz val="18"/>
      <name val="ＭＳ Ｐゴシック"/>
      <family val="3"/>
      <charset val="128"/>
      <scheme val="minor"/>
    </font>
    <font>
      <sz val="12"/>
      <name val="ＭＳ Ｐゴシック"/>
      <family val="3"/>
      <charset val="128"/>
      <scheme val="minor"/>
    </font>
    <font>
      <sz val="8"/>
      <name val="ＭＳ Ｐゴシック"/>
      <family val="3"/>
      <charset val="128"/>
      <scheme val="minor"/>
    </font>
    <font>
      <sz val="10"/>
      <name val="ＭＳ Ｐゴシック"/>
      <family val="3"/>
      <charset val="128"/>
      <scheme val="minor"/>
    </font>
    <font>
      <sz val="40"/>
      <name val="ＭＳ Ｐゴシック"/>
      <family val="3"/>
      <charset val="128"/>
      <scheme val="minor"/>
    </font>
    <font>
      <sz val="14"/>
      <name val="ＭＳ Ｐゴシック"/>
      <family val="3"/>
      <charset val="128"/>
      <scheme val="minor"/>
    </font>
    <font>
      <b/>
      <sz val="10"/>
      <name val="Meiryo UI"/>
      <family val="3"/>
      <charset val="128"/>
    </font>
    <font>
      <sz val="6"/>
      <name val="GE Inspira Pitch"/>
      <family val="2"/>
      <charset val="128"/>
    </font>
    <font>
      <sz val="10"/>
      <name val="Meiryo UI"/>
      <family val="3"/>
      <charset val="128"/>
    </font>
    <font>
      <sz val="9"/>
      <name val="ＭＳ Ｐゴシック"/>
      <family val="3"/>
      <charset val="128"/>
      <scheme val="minor"/>
    </font>
    <font>
      <b/>
      <sz val="18"/>
      <name val="ＭＳ Ｐゴシック"/>
      <family val="3"/>
      <charset val="128"/>
      <scheme val="minor"/>
    </font>
    <font>
      <sz val="15"/>
      <name val="ＭＳ Ｐゴシック"/>
      <family val="3"/>
      <charset val="128"/>
      <scheme val="minor"/>
    </font>
    <font>
      <sz val="13"/>
      <name val="ＭＳ Ｐゴシック"/>
      <family val="3"/>
      <charset val="128"/>
      <scheme val="minor"/>
    </font>
    <font>
      <sz val="20"/>
      <name val="ＭＳ Ｐゴシック"/>
      <family val="3"/>
      <charset val="128"/>
      <scheme val="minor"/>
    </font>
    <font>
      <sz val="11"/>
      <color rgb="FF000000"/>
      <name val="ＭＳ Ｐゴシック"/>
      <family val="3"/>
      <charset val="128"/>
    </font>
    <font>
      <sz val="12"/>
      <color theme="0"/>
      <name val="ＭＳ Ｐゴシック"/>
      <family val="3"/>
      <charset val="128"/>
      <scheme val="minor"/>
    </font>
    <font>
      <sz val="11"/>
      <color theme="0"/>
      <name val="ＭＳ Ｐゴシック"/>
      <family val="3"/>
      <charset val="128"/>
      <scheme val="minor"/>
    </font>
    <font>
      <sz val="12"/>
      <name val="ＭＳ Ｐゴシック"/>
      <family val="3"/>
      <charset val="128"/>
    </font>
    <font>
      <sz val="10"/>
      <name val="ＭＳ Ｐゴシック"/>
      <family val="3"/>
      <charset val="128"/>
    </font>
    <font>
      <sz val="6"/>
      <name val="ＭＳ Ｐゴシック"/>
      <family val="2"/>
      <charset val="128"/>
      <scheme val="minor"/>
    </font>
  </fonts>
  <fills count="7">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FF00"/>
        <bgColor indexed="64"/>
      </patternFill>
    </fill>
    <fill>
      <patternFill patternType="solid">
        <fgColor theme="9" tint="0.79998168889431442"/>
        <bgColor indexed="64"/>
      </patternFill>
    </fill>
  </fills>
  <borders count="61">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diagonal/>
    </border>
  </borders>
  <cellStyleXfs count="3">
    <xf numFmtId="0" fontId="0" fillId="0" borderId="0"/>
    <xf numFmtId="0" fontId="2" fillId="0" borderId="0"/>
    <xf numFmtId="0" fontId="24" fillId="0" borderId="0">
      <alignment vertical="center"/>
    </xf>
  </cellStyleXfs>
  <cellXfs count="294">
    <xf numFmtId="0" fontId="0" fillId="0" borderId="0" xfId="0"/>
    <xf numFmtId="0" fontId="4" fillId="2" borderId="0" xfId="0" applyFont="1" applyFill="1"/>
    <xf numFmtId="0" fontId="4" fillId="0" borderId="0" xfId="0" applyFont="1" applyFill="1" applyBorder="1"/>
    <xf numFmtId="0" fontId="8" fillId="0" borderId="0" xfId="0" applyFont="1"/>
    <xf numFmtId="0" fontId="8" fillId="0" borderId="0" xfId="0" applyFont="1" applyBorder="1"/>
    <xf numFmtId="0" fontId="8" fillId="0" borderId="0" xfId="0" applyFont="1" applyAlignment="1">
      <alignment vertical="center" wrapText="1"/>
    </xf>
    <xf numFmtId="0" fontId="4" fillId="0" borderId="0" xfId="0" applyFont="1"/>
    <xf numFmtId="0" fontId="10" fillId="0" borderId="0" xfId="1" applyNumberFormat="1" applyFont="1" applyAlignment="1" applyProtection="1">
      <alignment horizontal="center"/>
    </xf>
    <xf numFmtId="0" fontId="10" fillId="0" borderId="0" xfId="1" applyNumberFormat="1" applyFont="1" applyFill="1" applyBorder="1" applyAlignment="1" applyProtection="1">
      <alignment horizontal="center"/>
    </xf>
    <xf numFmtId="179" fontId="10" fillId="0" borderId="0" xfId="1" applyNumberFormat="1" applyFont="1" applyFill="1" applyBorder="1" applyAlignment="1" applyProtection="1">
      <alignment horizontal="center" vertical="center"/>
    </xf>
    <xf numFmtId="180" fontId="10" fillId="0" borderId="0" xfId="1" applyNumberFormat="1" applyFont="1" applyFill="1" applyBorder="1" applyAlignment="1" applyProtection="1">
      <alignment horizontal="center"/>
    </xf>
    <xf numFmtId="181" fontId="10" fillId="0" borderId="0" xfId="1" applyNumberFormat="1" applyFont="1" applyFill="1" applyBorder="1" applyAlignment="1" applyProtection="1">
      <alignment horizontal="center" vertical="center"/>
    </xf>
    <xf numFmtId="181" fontId="10" fillId="0" borderId="0" xfId="1" applyNumberFormat="1" applyFont="1" applyFill="1" applyBorder="1" applyAlignment="1" applyProtection="1">
      <alignment horizontal="center"/>
    </xf>
    <xf numFmtId="0" fontId="10" fillId="0" borderId="0" xfId="1" applyNumberFormat="1" applyFont="1" applyAlignment="1" applyProtection="1"/>
    <xf numFmtId="0" fontId="4" fillId="0" borderId="0" xfId="0" applyFont="1" applyAlignment="1">
      <alignment vertical="center"/>
    </xf>
    <xf numFmtId="181" fontId="10" fillId="0" borderId="28" xfId="1" applyNumberFormat="1" applyFont="1" applyFill="1" applyBorder="1" applyAlignment="1" applyProtection="1">
      <alignment horizontal="center" vertical="center"/>
    </xf>
    <xf numFmtId="180" fontId="10" fillId="0" borderId="28" xfId="1" applyNumberFormat="1" applyFont="1" applyFill="1" applyBorder="1" applyAlignment="1" applyProtection="1">
      <alignment horizontal="center" vertical="center"/>
    </xf>
    <xf numFmtId="180" fontId="10" fillId="0" borderId="47" xfId="1" applyNumberFormat="1" applyFont="1" applyFill="1" applyBorder="1" applyAlignment="1" applyProtection="1">
      <alignment horizontal="center" vertical="center"/>
    </xf>
    <xf numFmtId="181" fontId="10" fillId="0" borderId="47" xfId="1" applyNumberFormat="1" applyFont="1" applyFill="1" applyBorder="1" applyAlignment="1" applyProtection="1">
      <alignment horizontal="center" vertical="center"/>
    </xf>
    <xf numFmtId="0" fontId="10" fillId="0" borderId="58" xfId="1" applyNumberFormat="1" applyFont="1" applyFill="1" applyBorder="1" applyAlignment="1" applyProtection="1">
      <alignment horizontal="center" vertical="center"/>
    </xf>
    <xf numFmtId="179" fontId="10" fillId="0" borderId="58" xfId="1" applyNumberFormat="1" applyFont="1" applyFill="1" applyBorder="1" applyAlignment="1" applyProtection="1">
      <alignment horizontal="center" vertical="center"/>
    </xf>
    <xf numFmtId="0" fontId="8" fillId="0" borderId="28" xfId="0" applyFont="1" applyBorder="1" applyAlignment="1">
      <alignment horizontal="center" vertical="center"/>
    </xf>
    <xf numFmtId="0" fontId="4" fillId="2" borderId="4" xfId="0" applyFont="1" applyFill="1" applyBorder="1" applyProtection="1">
      <protection locked="0"/>
    </xf>
    <xf numFmtId="0" fontId="9" fillId="2" borderId="4" xfId="0" applyFont="1" applyFill="1" applyBorder="1" applyProtection="1">
      <protection locked="0"/>
    </xf>
    <xf numFmtId="0" fontId="8" fillId="2" borderId="4" xfId="0" applyFont="1" applyFill="1" applyBorder="1" applyProtection="1">
      <protection locked="0"/>
    </xf>
    <xf numFmtId="0" fontId="16" fillId="2" borderId="4" xfId="0" applyFont="1" applyFill="1" applyBorder="1" applyProtection="1">
      <protection locked="0"/>
    </xf>
    <xf numFmtId="0" fontId="4" fillId="2" borderId="1" xfId="0" applyFont="1" applyFill="1" applyBorder="1" applyProtection="1">
      <protection locked="0"/>
    </xf>
    <xf numFmtId="0" fontId="4" fillId="2" borderId="0" xfId="0" applyFont="1" applyFill="1" applyBorder="1" applyProtection="1">
      <protection locked="0"/>
    </xf>
    <xf numFmtId="0" fontId="10" fillId="2" borderId="0" xfId="0" applyFont="1" applyFill="1" applyBorder="1" applyProtection="1">
      <protection locked="0"/>
    </xf>
    <xf numFmtId="0" fontId="4" fillId="2" borderId="0" xfId="0" applyFont="1" applyFill="1" applyBorder="1" applyAlignment="1" applyProtection="1">
      <protection locked="0"/>
    </xf>
    <xf numFmtId="0" fontId="8" fillId="0" borderId="0" xfId="0" applyFont="1" applyBorder="1" applyProtection="1">
      <protection locked="0"/>
    </xf>
    <xf numFmtId="0" fontId="4" fillId="0" borderId="0" xfId="0" applyFont="1" applyFill="1" applyBorder="1" applyAlignment="1" applyProtection="1">
      <protection locked="0"/>
    </xf>
    <xf numFmtId="0" fontId="4" fillId="0" borderId="0" xfId="0" applyFont="1" applyFill="1" applyBorder="1" applyProtection="1">
      <protection locked="0"/>
    </xf>
    <xf numFmtId="0" fontId="8" fillId="0" borderId="3" xfId="0" applyFont="1" applyBorder="1" applyProtection="1">
      <protection locked="0"/>
    </xf>
    <xf numFmtId="0" fontId="8" fillId="0" borderId="4" xfId="0" applyFont="1" applyBorder="1" applyProtection="1">
      <protection locked="0"/>
    </xf>
    <xf numFmtId="0" fontId="8" fillId="0" borderId="5" xfId="0" applyFont="1" applyBorder="1" applyProtection="1">
      <protection locked="0"/>
    </xf>
    <xf numFmtId="0" fontId="4" fillId="0" borderId="8" xfId="0" applyFont="1" applyBorder="1" applyAlignment="1" applyProtection="1">
      <protection locked="0"/>
    </xf>
    <xf numFmtId="0" fontId="4" fillId="0" borderId="0" xfId="0" applyFont="1" applyBorder="1" applyAlignment="1" applyProtection="1">
      <protection locked="0"/>
    </xf>
    <xf numFmtId="0" fontId="4" fillId="0" borderId="0" xfId="0" applyFont="1" applyBorder="1" applyAlignment="1" applyProtection="1">
      <alignment horizontal="left" vertical="top" indent="2"/>
      <protection locked="0"/>
    </xf>
    <xf numFmtId="0" fontId="8" fillId="0" borderId="0" xfId="0" applyFont="1" applyBorder="1" applyAlignment="1" applyProtection="1">
      <protection locked="0"/>
    </xf>
    <xf numFmtId="0" fontId="4" fillId="0" borderId="7" xfId="0" applyFont="1" applyBorder="1" applyAlignment="1" applyProtection="1">
      <protection locked="0"/>
    </xf>
    <xf numFmtId="0" fontId="20" fillId="0" borderId="0" xfId="0" applyFont="1" applyBorder="1" applyAlignment="1" applyProtection="1">
      <alignment horizontal="left" vertical="top"/>
      <protection locked="0"/>
    </xf>
    <xf numFmtId="0" fontId="7" fillId="0" borderId="0" xfId="0" applyFont="1" applyBorder="1" applyAlignment="1" applyProtection="1">
      <alignment horizontal="left" vertical="top" indent="2"/>
      <protection locked="0"/>
    </xf>
    <xf numFmtId="0" fontId="7" fillId="0" borderId="0" xfId="0" applyFont="1" applyBorder="1" applyAlignment="1" applyProtection="1">
      <alignment horizontal="left"/>
      <protection locked="0"/>
    </xf>
    <xf numFmtId="0" fontId="4" fillId="0" borderId="7" xfId="0" applyFont="1" applyBorder="1" applyAlignment="1" applyProtection="1">
      <alignment horizontal="left" vertical="top" indent="2"/>
      <protection locked="0"/>
    </xf>
    <xf numFmtId="0" fontId="4" fillId="0" borderId="0" xfId="0" quotePrefix="1" applyFont="1" applyBorder="1" applyAlignment="1" applyProtection="1">
      <alignment horizontal="left" vertical="top" indent="2"/>
      <protection locked="0"/>
    </xf>
    <xf numFmtId="0" fontId="4" fillId="0" borderId="0" xfId="0" quotePrefix="1" applyFont="1" applyBorder="1" applyAlignment="1" applyProtection="1">
      <protection locked="0"/>
    </xf>
    <xf numFmtId="0" fontId="4" fillId="0" borderId="13" xfId="0" applyFont="1" applyBorder="1" applyAlignment="1" applyProtection="1">
      <alignment vertical="top"/>
      <protection locked="0"/>
    </xf>
    <xf numFmtId="0" fontId="4" fillId="0" borderId="0" xfId="0"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2" borderId="0" xfId="0" applyFont="1" applyFill="1" applyBorder="1"/>
    <xf numFmtId="0" fontId="10" fillId="0" borderId="0" xfId="1" applyNumberFormat="1" applyFont="1" applyBorder="1" applyAlignment="1" applyProtection="1"/>
    <xf numFmtId="0" fontId="4" fillId="0" borderId="0" xfId="0" applyFont="1" applyBorder="1" applyAlignment="1">
      <alignment vertical="center"/>
    </xf>
    <xf numFmtId="0" fontId="16" fillId="2" borderId="5" xfId="0" applyFont="1" applyFill="1" applyBorder="1" applyProtection="1">
      <protection locked="0"/>
    </xf>
    <xf numFmtId="0" fontId="4" fillId="2" borderId="59" xfId="0" applyFont="1" applyFill="1" applyBorder="1" applyProtection="1">
      <protection locked="0"/>
    </xf>
    <xf numFmtId="0" fontId="4" fillId="2" borderId="8" xfId="0" applyFont="1" applyFill="1" applyBorder="1" applyProtection="1">
      <protection locked="0"/>
    </xf>
    <xf numFmtId="0" fontId="4" fillId="2" borderId="7" xfId="0" applyFont="1" applyFill="1" applyBorder="1" applyProtection="1">
      <protection locked="0"/>
    </xf>
    <xf numFmtId="0" fontId="4" fillId="0" borderId="8" xfId="0" applyFont="1" applyBorder="1" applyAlignment="1" applyProtection="1">
      <alignment horizontal="left" vertical="center"/>
      <protection locked="0"/>
    </xf>
    <xf numFmtId="0" fontId="8" fillId="0" borderId="7" xfId="0" applyFont="1" applyBorder="1" applyProtection="1">
      <protection locked="0"/>
    </xf>
    <xf numFmtId="0" fontId="4" fillId="0" borderId="8" xfId="0" applyFont="1" applyFill="1" applyBorder="1" applyAlignment="1" applyProtection="1">
      <alignment horizontal="left" vertical="center"/>
      <protection locked="0"/>
    </xf>
    <xf numFmtId="0" fontId="10" fillId="0" borderId="0" xfId="0" applyFont="1" applyFill="1" applyBorder="1" applyProtection="1">
      <protection locked="0"/>
    </xf>
    <xf numFmtId="0" fontId="8" fillId="0" borderId="7" xfId="0" applyFont="1" applyFill="1" applyBorder="1" applyProtection="1">
      <protection locked="0"/>
    </xf>
    <xf numFmtId="0" fontId="4" fillId="0" borderId="8" xfId="0" applyFont="1" applyFill="1" applyBorder="1" applyProtection="1">
      <protection locked="0"/>
    </xf>
    <xf numFmtId="0" fontId="4" fillId="0" borderId="7" xfId="0" applyFont="1" applyFill="1" applyBorder="1" applyProtection="1">
      <protection locked="0"/>
    </xf>
    <xf numFmtId="0" fontId="4" fillId="0" borderId="8" xfId="0" applyFont="1" applyBorder="1" applyAlignment="1" applyProtection="1">
      <alignment vertical="center"/>
      <protection locked="0"/>
    </xf>
    <xf numFmtId="0" fontId="23" fillId="0" borderId="0" xfId="0" applyFont="1" applyBorder="1" applyAlignment="1" applyProtection="1">
      <protection locked="0"/>
    </xf>
    <xf numFmtId="0" fontId="0" fillId="0" borderId="0" xfId="0" quotePrefix="1" applyNumberFormat="1"/>
    <xf numFmtId="0" fontId="0" fillId="0" borderId="0" xfId="0" applyFill="1"/>
    <xf numFmtId="0" fontId="13" fillId="5" borderId="28" xfId="0" applyNumberFormat="1" applyFont="1" applyFill="1" applyBorder="1" applyAlignment="1">
      <alignment vertical="top" wrapText="1"/>
    </xf>
    <xf numFmtId="0" fontId="13" fillId="5" borderId="28" xfId="0" applyNumberFormat="1" applyFont="1" applyFill="1" applyBorder="1" applyAlignment="1" applyProtection="1">
      <alignment vertical="top" wrapText="1"/>
    </xf>
    <xf numFmtId="0" fontId="13" fillId="5" borderId="28" xfId="0" applyNumberFormat="1" applyFont="1" applyFill="1" applyBorder="1" applyAlignment="1">
      <alignment horizontal="left" vertical="top" wrapText="1"/>
    </xf>
    <xf numFmtId="49" fontId="13" fillId="5" borderId="28" xfId="2" applyNumberFormat="1" applyFont="1" applyFill="1" applyBorder="1" applyAlignment="1">
      <alignment horizontal="center" vertical="center" wrapText="1"/>
    </xf>
    <xf numFmtId="0" fontId="13" fillId="6" borderId="28" xfId="0" applyFont="1" applyFill="1" applyBorder="1" applyAlignment="1">
      <alignment horizontal="center" vertical="center" wrapText="1"/>
    </xf>
    <xf numFmtId="0" fontId="13" fillId="5" borderId="28" xfId="0" applyNumberFormat="1" applyFont="1" applyFill="1" applyBorder="1" applyAlignment="1">
      <alignment horizontal="center" vertical="top" wrapText="1"/>
    </xf>
    <xf numFmtId="0" fontId="13" fillId="5" borderId="28" xfId="0" applyFont="1" applyFill="1" applyBorder="1" applyAlignment="1">
      <alignment horizontal="center" vertical="top" wrapText="1"/>
    </xf>
    <xf numFmtId="0" fontId="13" fillId="5" borderId="28" xfId="0" applyNumberFormat="1" applyFont="1" applyFill="1" applyBorder="1" applyAlignment="1" applyProtection="1">
      <alignment horizontal="left" vertical="top" wrapText="1"/>
    </xf>
    <xf numFmtId="0" fontId="13" fillId="5" borderId="28" xfId="0" applyNumberFormat="1" applyFont="1" applyFill="1" applyBorder="1" applyAlignment="1" applyProtection="1">
      <alignment horizontal="center" vertical="top" wrapText="1"/>
    </xf>
    <xf numFmtId="14" fontId="13" fillId="4" borderId="28" xfId="0" applyNumberFormat="1" applyFont="1" applyFill="1" applyBorder="1" applyAlignment="1">
      <alignment horizontal="center" vertical="top" wrapText="1"/>
    </xf>
    <xf numFmtId="14" fontId="13" fillId="5" borderId="28"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15" fillId="0" borderId="28" xfId="0" applyNumberFormat="1" applyFont="1" applyFill="1" applyBorder="1" applyAlignment="1" applyProtection="1">
      <alignment vertical="center"/>
    </xf>
    <xf numFmtId="0" fontId="15" fillId="0" borderId="28" xfId="0" applyFont="1" applyFill="1" applyBorder="1" applyAlignment="1" applyProtection="1">
      <alignment horizontal="left" vertical="center"/>
    </xf>
    <xf numFmtId="0" fontId="15" fillId="0" borderId="28" xfId="2" applyFont="1" applyFill="1" applyBorder="1" applyAlignment="1" applyProtection="1">
      <alignment horizontal="center" vertical="center"/>
    </xf>
    <xf numFmtId="0" fontId="15" fillId="6" borderId="28" xfId="0" applyFont="1" applyFill="1" applyBorder="1" applyAlignment="1" applyProtection="1">
      <alignment horizontal="center" vertical="center"/>
    </xf>
    <xf numFmtId="0" fontId="15" fillId="0" borderId="28" xfId="0" applyFont="1" applyFill="1" applyBorder="1" applyAlignment="1" applyProtection="1">
      <alignment horizontal="center" vertical="center"/>
    </xf>
    <xf numFmtId="49" fontId="15" fillId="0" borderId="28" xfId="0" applyNumberFormat="1" applyFont="1" applyFill="1" applyBorder="1" applyAlignment="1" applyProtection="1">
      <alignment horizontal="left" vertical="center"/>
    </xf>
    <xf numFmtId="0" fontId="15" fillId="0" borderId="28" xfId="0" applyFont="1" applyFill="1" applyBorder="1" applyAlignment="1" applyProtection="1">
      <alignment horizontal="center" vertical="center" shrinkToFit="1"/>
    </xf>
    <xf numFmtId="49" fontId="15" fillId="0" borderId="28" xfId="0" applyNumberFormat="1" applyFont="1" applyFill="1" applyBorder="1" applyAlignment="1" applyProtection="1">
      <alignment horizontal="center" vertical="center" shrinkToFit="1"/>
    </xf>
    <xf numFmtId="0" fontId="0" fillId="0" borderId="0" xfId="0" applyBorder="1"/>
    <xf numFmtId="178" fontId="0" fillId="0" borderId="0" xfId="0" applyNumberFormat="1" applyBorder="1"/>
    <xf numFmtId="0" fontId="0" fillId="0" borderId="0" xfId="0" applyFill="1" applyBorder="1" applyAlignment="1">
      <alignment horizontal="center" vertical="center"/>
    </xf>
    <xf numFmtId="178" fontId="0" fillId="0" borderId="0" xfId="0" applyNumberFormat="1" applyFill="1" applyBorder="1" applyAlignment="1">
      <alignment horizontal="center" vertical="center"/>
    </xf>
    <xf numFmtId="0" fontId="18" fillId="0" borderId="23" xfId="0" applyFont="1" applyFill="1" applyBorder="1" applyAlignment="1" applyProtection="1">
      <alignment horizontal="center" vertical="center"/>
      <protection locked="0"/>
    </xf>
    <xf numFmtId="0" fontId="18" fillId="0" borderId="4" xfId="0" applyFont="1" applyFill="1" applyBorder="1" applyAlignment="1" applyProtection="1">
      <alignment horizontal="center" vertical="center"/>
      <protection locked="0"/>
    </xf>
    <xf numFmtId="0" fontId="18" fillId="0" borderId="5"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0" fontId="18" fillId="0" borderId="14" xfId="0" applyFont="1" applyFill="1" applyBorder="1" applyAlignment="1" applyProtection="1">
      <alignment horizontal="center" vertical="center"/>
      <protection locked="0"/>
    </xf>
    <xf numFmtId="0" fontId="8" fillId="0" borderId="28" xfId="0" applyFont="1" applyBorder="1" applyAlignment="1">
      <alignment horizontal="center" vertical="center"/>
    </xf>
    <xf numFmtId="0" fontId="18" fillId="0" borderId="55" xfId="0" applyFont="1" applyFill="1" applyBorder="1" applyAlignment="1" applyProtection="1">
      <alignment horizontal="center" vertical="center"/>
      <protection locked="0"/>
    </xf>
    <xf numFmtId="0" fontId="18" fillId="0" borderId="53" xfId="0" applyFont="1" applyFill="1" applyBorder="1" applyAlignment="1" applyProtection="1">
      <alignment horizontal="center" vertical="center"/>
      <protection locked="0"/>
    </xf>
    <xf numFmtId="0" fontId="18" fillId="0" borderId="54" xfId="0" applyFont="1" applyFill="1" applyBorder="1" applyAlignment="1" applyProtection="1">
      <alignment horizontal="center" vertical="center"/>
      <protection locked="0"/>
    </xf>
    <xf numFmtId="178" fontId="18" fillId="0" borderId="55" xfId="0" applyNumberFormat="1" applyFont="1" applyFill="1" applyBorder="1" applyAlignment="1" applyProtection="1">
      <alignment horizontal="center" vertical="center"/>
    </xf>
    <xf numFmtId="0" fontId="4" fillId="0" borderId="8" xfId="0" applyFont="1" applyBorder="1" applyAlignment="1" applyProtection="1">
      <alignment horizontal="left" vertical="top"/>
      <protection locked="0"/>
    </xf>
    <xf numFmtId="0" fontId="4" fillId="0" borderId="0" xfId="0" applyFont="1" applyBorder="1" applyAlignment="1" applyProtection="1">
      <alignment horizontal="left" vertical="top"/>
      <protection locked="0"/>
    </xf>
    <xf numFmtId="0" fontId="4" fillId="0" borderId="7" xfId="0" applyFont="1" applyBorder="1" applyAlignment="1" applyProtection="1">
      <alignment horizontal="left" vertical="top"/>
      <protection locked="0"/>
    </xf>
    <xf numFmtId="0" fontId="4" fillId="0" borderId="12" xfId="0" applyFont="1" applyBorder="1" applyAlignment="1" applyProtection="1">
      <alignment horizontal="left" vertical="top"/>
      <protection locked="0"/>
    </xf>
    <xf numFmtId="0" fontId="4" fillId="0" borderId="13" xfId="0" applyFont="1" applyBorder="1" applyAlignment="1" applyProtection="1">
      <alignment horizontal="left" vertical="top"/>
      <protection locked="0"/>
    </xf>
    <xf numFmtId="0" fontId="4" fillId="0" borderId="14"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4" xfId="0" applyFont="1" applyBorder="1" applyAlignment="1" applyProtection="1">
      <alignment horizontal="left" vertical="top"/>
      <protection locked="0"/>
    </xf>
    <xf numFmtId="0" fontId="5" fillId="0" borderId="5" xfId="0" applyFont="1" applyBorder="1" applyAlignment="1" applyProtection="1">
      <alignment horizontal="left" vertical="top"/>
      <protection locked="0"/>
    </xf>
    <xf numFmtId="0" fontId="4" fillId="0" borderId="1" xfId="0" applyFont="1" applyBorder="1" applyAlignment="1">
      <alignment horizontal="center" vertical="center"/>
    </xf>
    <xf numFmtId="185" fontId="4" fillId="0" borderId="28" xfId="0" applyNumberFormat="1" applyFont="1" applyBorder="1" applyAlignment="1" applyProtection="1">
      <alignment horizontal="center"/>
      <protection locked="0"/>
    </xf>
    <xf numFmtId="0" fontId="4" fillId="0" borderId="28" xfId="0" applyFont="1" applyBorder="1" applyAlignment="1" applyProtection="1">
      <alignment horizontal="center"/>
      <protection locked="0"/>
    </xf>
    <xf numFmtId="0" fontId="4" fillId="0" borderId="31" xfId="0" applyFont="1" applyBorder="1" applyAlignment="1" applyProtection="1">
      <alignment horizontal="center"/>
      <protection locked="0"/>
    </xf>
    <xf numFmtId="0" fontId="7" fillId="0" borderId="3" xfId="0" applyFont="1" applyFill="1" applyBorder="1" applyAlignment="1" applyProtection="1">
      <alignment horizontal="center" textRotation="255"/>
      <protection locked="0"/>
    </xf>
    <xf numFmtId="0" fontId="7" fillId="0" borderId="5"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textRotation="255"/>
      <protection locked="0"/>
    </xf>
    <xf numFmtId="0" fontId="7" fillId="0" borderId="7"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vertical="top" textRotation="255"/>
      <protection locked="0"/>
    </xf>
    <xf numFmtId="0" fontId="7" fillId="0" borderId="7" xfId="0" applyFont="1" applyFill="1" applyBorder="1" applyAlignment="1" applyProtection="1">
      <alignment horizontal="center" vertical="top" textRotation="255"/>
      <protection locked="0"/>
    </xf>
    <xf numFmtId="0" fontId="7" fillId="0" borderId="12" xfId="0" applyFont="1" applyFill="1" applyBorder="1" applyAlignment="1" applyProtection="1">
      <alignment horizontal="center" vertical="top" textRotation="255"/>
      <protection locked="0"/>
    </xf>
    <xf numFmtId="0" fontId="7" fillId="0" borderId="14" xfId="0" applyFont="1" applyFill="1" applyBorder="1" applyAlignment="1" applyProtection="1">
      <alignment horizontal="center" vertical="top" textRotation="255"/>
      <protection locked="0"/>
    </xf>
    <xf numFmtId="177" fontId="7" fillId="0" borderId="8" xfId="0" applyNumberFormat="1" applyFont="1" applyFill="1" applyBorder="1" applyAlignment="1" applyProtection="1">
      <alignment horizontal="center" vertical="center" textRotation="255"/>
    </xf>
    <xf numFmtId="177" fontId="7" fillId="0" borderId="7" xfId="0" applyNumberFormat="1" applyFont="1" applyFill="1" applyBorder="1" applyAlignment="1" applyProtection="1">
      <alignment horizontal="center" vertical="center" textRotation="255"/>
    </xf>
    <xf numFmtId="183" fontId="4" fillId="3" borderId="24" xfId="0" applyNumberFormat="1" applyFont="1" applyFill="1" applyBorder="1" applyAlignment="1" applyProtection="1">
      <alignment horizontal="center"/>
    </xf>
    <xf numFmtId="183" fontId="4" fillId="3" borderId="28" xfId="0" applyNumberFormat="1" applyFont="1" applyFill="1" applyBorder="1" applyAlignment="1" applyProtection="1">
      <alignment horizontal="center"/>
    </xf>
    <xf numFmtId="0" fontId="4" fillId="0" borderId="24" xfId="0" quotePrefix="1" applyFont="1" applyBorder="1" applyAlignment="1" applyProtection="1">
      <alignment horizontal="center"/>
      <protection locked="0"/>
    </xf>
    <xf numFmtId="182" fontId="4" fillId="0" borderId="28" xfId="0" applyNumberFormat="1" applyFont="1" applyBorder="1" applyAlignment="1" applyProtection="1">
      <alignment horizontal="center"/>
      <protection locked="0"/>
    </xf>
    <xf numFmtId="0" fontId="4" fillId="0" borderId="38" xfId="0" applyFont="1" applyBorder="1" applyAlignment="1" applyProtection="1">
      <alignment horizontal="center"/>
      <protection locked="0"/>
    </xf>
    <xf numFmtId="0" fontId="4" fillId="0" borderId="9" xfId="0" applyFont="1" applyBorder="1" applyAlignment="1" applyProtection="1">
      <alignment horizontal="center"/>
      <protection locked="0"/>
    </xf>
    <xf numFmtId="0" fontId="4" fillId="0" borderId="47" xfId="0" applyFont="1" applyBorder="1" applyAlignment="1" applyProtection="1">
      <alignment horizontal="center"/>
      <protection locked="0"/>
    </xf>
    <xf numFmtId="176" fontId="4" fillId="0" borderId="47" xfId="0" applyNumberFormat="1" applyFont="1" applyFill="1" applyBorder="1" applyAlignment="1" applyProtection="1">
      <alignment horizontal="center"/>
      <protection locked="0"/>
    </xf>
    <xf numFmtId="0" fontId="4" fillId="0" borderId="25" xfId="0" applyFont="1" applyBorder="1" applyAlignment="1" applyProtection="1">
      <alignment horizontal="center"/>
      <protection locked="0"/>
    </xf>
    <xf numFmtId="183" fontId="4" fillId="3" borderId="32" xfId="0" applyNumberFormat="1" applyFont="1" applyFill="1" applyBorder="1" applyAlignment="1" applyProtection="1">
      <alignment horizontal="center"/>
    </xf>
    <xf numFmtId="183" fontId="4" fillId="3" borderId="38" xfId="0" applyNumberFormat="1" applyFont="1" applyFill="1" applyBorder="1" applyAlignment="1" applyProtection="1">
      <alignment horizontal="center"/>
    </xf>
    <xf numFmtId="0" fontId="11" fillId="2" borderId="3" xfId="0" applyFont="1" applyFill="1" applyBorder="1" applyAlignment="1" applyProtection="1">
      <alignment horizontal="center"/>
      <protection locked="0"/>
    </xf>
    <xf numFmtId="0" fontId="4" fillId="0" borderId="4" xfId="0" applyFont="1" applyBorder="1" applyAlignment="1" applyProtection="1">
      <alignment horizontal="center"/>
      <protection locked="0"/>
    </xf>
    <xf numFmtId="0" fontId="4" fillId="0" borderId="16" xfId="0" applyFont="1" applyBorder="1" applyAlignment="1" applyProtection="1">
      <alignment horizontal="center"/>
      <protection locked="0"/>
    </xf>
    <xf numFmtId="0" fontId="4" fillId="0" borderId="8"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4" fillId="0" borderId="34" xfId="0" applyFont="1" applyBorder="1" applyAlignment="1" applyProtection="1">
      <alignment horizontal="center"/>
      <protection locked="0"/>
    </xf>
    <xf numFmtId="0" fontId="4" fillId="0" borderId="1" xfId="0" applyFont="1" applyBorder="1" applyAlignment="1" applyProtection="1">
      <alignment horizontal="center"/>
      <protection locked="0"/>
    </xf>
    <xf numFmtId="0" fontId="9" fillId="2" borderId="4" xfId="0" applyFont="1" applyFill="1" applyBorder="1" applyAlignment="1" applyProtection="1">
      <alignment horizontal="center"/>
      <protection locked="0"/>
    </xf>
    <xf numFmtId="0" fontId="17" fillId="2" borderId="10" xfId="0" applyFont="1" applyFill="1" applyBorder="1" applyAlignment="1" applyProtection="1">
      <alignment horizontal="center" vertical="center" shrinkToFit="1"/>
      <protection locked="0"/>
    </xf>
    <xf numFmtId="0" fontId="17" fillId="2" borderId="0" xfId="0" applyFont="1" applyFill="1" applyBorder="1" applyAlignment="1" applyProtection="1">
      <alignment horizontal="center" vertical="center" shrinkToFit="1"/>
      <protection locked="0"/>
    </xf>
    <xf numFmtId="0" fontId="17" fillId="2" borderId="7" xfId="0" applyFont="1" applyFill="1" applyBorder="1" applyAlignment="1" applyProtection="1">
      <alignment horizontal="center" vertical="center" shrinkToFit="1"/>
      <protection locked="0"/>
    </xf>
    <xf numFmtId="0" fontId="6" fillId="2" borderId="57" xfId="0" applyFont="1" applyFill="1" applyBorder="1" applyAlignment="1" applyProtection="1">
      <alignment horizontal="center" vertical="center" shrinkToFit="1"/>
      <protection locked="0"/>
    </xf>
    <xf numFmtId="0" fontId="6" fillId="2" borderId="6" xfId="0" applyFont="1" applyFill="1" applyBorder="1" applyAlignment="1" applyProtection="1">
      <alignment horizontal="center" vertical="center" shrinkToFit="1"/>
      <protection locked="0"/>
    </xf>
    <xf numFmtId="0" fontId="6" fillId="2" borderId="56" xfId="0" applyFont="1" applyFill="1" applyBorder="1" applyAlignment="1" applyProtection="1">
      <alignment horizontal="center" vertical="center" shrinkToFit="1"/>
      <protection locked="0"/>
    </xf>
    <xf numFmtId="0" fontId="6" fillId="2" borderId="8" xfId="0" applyFont="1" applyFill="1" applyBorder="1" applyAlignment="1" applyProtection="1">
      <alignment horizontal="center" vertical="center" shrinkToFit="1"/>
      <protection locked="0"/>
    </xf>
    <xf numFmtId="0" fontId="6" fillId="2" borderId="0" xfId="0" applyFont="1" applyFill="1" applyBorder="1" applyAlignment="1" applyProtection="1">
      <alignment horizontal="center" vertical="center" shrinkToFit="1"/>
      <protection locked="0"/>
    </xf>
    <xf numFmtId="0" fontId="6" fillId="2" borderId="11" xfId="0" applyFont="1" applyFill="1" applyBorder="1" applyAlignment="1" applyProtection="1">
      <alignment horizontal="center" vertical="center" shrinkToFit="1"/>
      <protection locked="0"/>
    </xf>
    <xf numFmtId="0" fontId="6" fillId="2" borderId="12" xfId="0" applyFont="1" applyFill="1" applyBorder="1" applyAlignment="1" applyProtection="1">
      <alignment horizontal="center" vertical="center" shrinkToFit="1"/>
      <protection locked="0"/>
    </xf>
    <xf numFmtId="0" fontId="6" fillId="2" borderId="13" xfId="0" applyFont="1" applyFill="1" applyBorder="1" applyAlignment="1" applyProtection="1">
      <alignment horizontal="center" vertical="center" shrinkToFit="1"/>
      <protection locked="0"/>
    </xf>
    <xf numFmtId="0" fontId="6" fillId="2" borderId="17" xfId="0" applyFont="1" applyFill="1" applyBorder="1" applyAlignment="1" applyProtection="1">
      <alignment horizontal="center" vertical="center" shrinkToFit="1"/>
      <protection locked="0"/>
    </xf>
    <xf numFmtId="0" fontId="5" fillId="2" borderId="37" xfId="0" applyFont="1" applyFill="1" applyBorder="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5" fillId="2" borderId="10" xfId="0" applyFont="1" applyFill="1" applyBorder="1" applyAlignment="1" applyProtection="1">
      <alignment horizontal="center" vertical="center" wrapText="1"/>
      <protection locked="0"/>
    </xf>
    <xf numFmtId="0" fontId="5" fillId="2" borderId="0" xfId="0" applyFont="1" applyFill="1" applyBorder="1" applyAlignment="1" applyProtection="1">
      <alignment horizontal="center" vertical="center" wrapText="1"/>
      <protection locked="0"/>
    </xf>
    <xf numFmtId="0" fontId="5" fillId="2" borderId="35" xfId="0" applyFont="1" applyFill="1" applyBorder="1" applyAlignment="1" applyProtection="1">
      <alignment horizontal="center" vertical="center" wrapText="1"/>
      <protection locked="0"/>
    </xf>
    <xf numFmtId="0" fontId="5" fillId="2" borderId="13" xfId="0" applyFont="1" applyFill="1" applyBorder="1" applyAlignment="1" applyProtection="1">
      <alignment horizontal="center" vertical="center" wrapText="1"/>
      <protection locked="0"/>
    </xf>
    <xf numFmtId="0" fontId="6" fillId="2" borderId="6" xfId="0" applyFont="1" applyFill="1" applyBorder="1" applyAlignment="1" applyProtection="1">
      <alignment horizontal="center" vertical="center"/>
      <protection locked="0"/>
    </xf>
    <xf numFmtId="0" fontId="6" fillId="2" borderId="56" xfId="0" applyFont="1" applyFill="1" applyBorder="1" applyAlignment="1" applyProtection="1">
      <alignment horizontal="center" vertical="center"/>
      <protection locked="0"/>
    </xf>
    <xf numFmtId="0" fontId="6" fillId="2" borderId="0" xfId="0" applyFont="1" applyFill="1" applyBorder="1" applyAlignment="1" applyProtection="1">
      <alignment horizontal="center" vertical="center"/>
      <protection locked="0"/>
    </xf>
    <xf numFmtId="0" fontId="6" fillId="2" borderId="11" xfId="0" applyFont="1" applyFill="1" applyBorder="1" applyAlignment="1" applyProtection="1">
      <alignment horizontal="center" vertical="center"/>
      <protection locked="0"/>
    </xf>
    <xf numFmtId="0" fontId="6" fillId="2" borderId="13" xfId="0" applyFont="1" applyFill="1" applyBorder="1" applyAlignment="1" applyProtection="1">
      <alignment horizontal="center" vertical="center"/>
      <protection locked="0"/>
    </xf>
    <xf numFmtId="0" fontId="6" fillId="2" borderId="17" xfId="0" applyFont="1" applyFill="1" applyBorder="1" applyAlignment="1" applyProtection="1">
      <alignment horizontal="center" vertical="center"/>
      <protection locked="0"/>
    </xf>
    <xf numFmtId="0" fontId="6" fillId="2" borderId="37" xfId="0" applyFont="1" applyFill="1" applyBorder="1" applyAlignment="1" applyProtection="1">
      <alignment horizontal="center" vertical="center" wrapText="1"/>
      <protection locked="0"/>
    </xf>
    <xf numFmtId="0" fontId="6" fillId="2" borderId="60" xfId="0" applyFont="1" applyFill="1" applyBorder="1" applyAlignment="1" applyProtection="1">
      <alignment horizontal="center" vertical="center"/>
      <protection locked="0"/>
    </xf>
    <xf numFmtId="0" fontId="6" fillId="2" borderId="10" xfId="0" applyFont="1" applyFill="1" applyBorder="1" applyAlignment="1" applyProtection="1">
      <alignment horizontal="center" vertical="center"/>
      <protection locked="0"/>
    </xf>
    <xf numFmtId="0" fontId="6" fillId="2" borderId="7" xfId="0" applyFont="1" applyFill="1" applyBorder="1" applyAlignment="1" applyProtection="1">
      <alignment horizontal="center" vertical="center"/>
      <protection locked="0"/>
    </xf>
    <xf numFmtId="0" fontId="6" fillId="2" borderId="35" xfId="0" applyFont="1" applyFill="1" applyBorder="1" applyAlignment="1" applyProtection="1">
      <alignment horizontal="center" vertical="center"/>
      <protection locked="0"/>
    </xf>
    <xf numFmtId="0" fontId="6" fillId="2" borderId="14" xfId="0" applyFont="1" applyFill="1" applyBorder="1" applyAlignment="1" applyProtection="1">
      <alignment horizontal="center" vertical="center"/>
      <protection locked="0"/>
    </xf>
    <xf numFmtId="0" fontId="12" fillId="0" borderId="18" xfId="0" applyFont="1" applyFill="1" applyBorder="1" applyAlignment="1" applyProtection="1">
      <alignment horizontal="center" vertical="center"/>
      <protection locked="0"/>
    </xf>
    <xf numFmtId="0" fontId="12" fillId="0" borderId="19" xfId="0" applyFont="1" applyFill="1" applyBorder="1" applyAlignment="1" applyProtection="1">
      <alignment horizontal="center" vertical="center"/>
      <protection locked="0"/>
    </xf>
    <xf numFmtId="0" fontId="12" fillId="0" borderId="20" xfId="0" applyFont="1" applyFill="1" applyBorder="1" applyAlignment="1" applyProtection="1">
      <alignment horizontal="center" vertical="center"/>
      <protection locked="0"/>
    </xf>
    <xf numFmtId="0" fontId="18" fillId="0" borderId="18" xfId="0" applyFont="1" applyFill="1" applyBorder="1" applyAlignment="1" applyProtection="1">
      <alignment horizontal="center" vertical="center"/>
      <protection locked="0"/>
    </xf>
    <xf numFmtId="0" fontId="18" fillId="0" borderId="19" xfId="0" applyFont="1" applyFill="1" applyBorder="1" applyAlignment="1" applyProtection="1">
      <alignment horizontal="center" vertical="center"/>
      <protection locked="0"/>
    </xf>
    <xf numFmtId="0" fontId="18" fillId="0" borderId="20"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12" fillId="0" borderId="44" xfId="0" applyFont="1" applyFill="1" applyBorder="1" applyAlignment="1" applyProtection="1">
      <alignment horizontal="center" vertical="center"/>
      <protection locked="0"/>
    </xf>
    <xf numFmtId="0" fontId="12" fillId="0" borderId="15" xfId="0" applyFont="1" applyFill="1" applyBorder="1" applyAlignment="1" applyProtection="1">
      <alignment horizontal="center" vertical="center"/>
      <protection locked="0"/>
    </xf>
    <xf numFmtId="0" fontId="12" fillId="0" borderId="40"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45" xfId="0" applyFont="1" applyFill="1" applyBorder="1" applyAlignment="1" applyProtection="1">
      <alignment horizontal="center" vertical="center"/>
      <protection locked="0"/>
    </xf>
    <xf numFmtId="0" fontId="12" fillId="0" borderId="42" xfId="0" applyFont="1" applyFill="1" applyBorder="1" applyAlignment="1" applyProtection="1">
      <alignment horizontal="center" vertical="center"/>
      <protection locked="0"/>
    </xf>
    <xf numFmtId="0" fontId="5" fillId="0" borderId="21" xfId="0"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18" fillId="0" borderId="3" xfId="0" applyFont="1" applyFill="1" applyBorder="1" applyAlignment="1" applyProtection="1">
      <alignment horizontal="center" vertical="center"/>
      <protection locked="0"/>
    </xf>
    <xf numFmtId="0" fontId="18" fillId="0" borderId="16" xfId="0" applyFont="1" applyFill="1" applyBorder="1" applyAlignment="1" applyProtection="1">
      <alignment horizontal="center" vertical="center"/>
      <protection locked="0"/>
    </xf>
    <xf numFmtId="0" fontId="5" fillId="0" borderId="29" xfId="0" applyFont="1" applyFill="1" applyBorder="1" applyAlignment="1" applyProtection="1">
      <alignment horizontal="center" vertical="center"/>
      <protection locked="0"/>
    </xf>
    <xf numFmtId="0" fontId="5" fillId="0" borderId="39" xfId="0" applyFont="1" applyFill="1" applyBorder="1" applyAlignment="1" applyProtection="1">
      <alignment horizontal="center" vertical="center"/>
      <protection locked="0"/>
    </xf>
    <xf numFmtId="0" fontId="12" fillId="0" borderId="39" xfId="0" applyFont="1" applyFill="1" applyBorder="1" applyAlignment="1" applyProtection="1">
      <alignment horizontal="center" vertical="center"/>
      <protection locked="0"/>
    </xf>
    <xf numFmtId="178" fontId="12" fillId="0" borderId="39" xfId="0" applyNumberFormat="1" applyFont="1" applyFill="1" applyBorder="1" applyAlignment="1" applyProtection="1">
      <alignment horizontal="center" vertical="center"/>
      <protection locked="0"/>
    </xf>
    <xf numFmtId="178" fontId="12" fillId="0" borderId="30" xfId="0" applyNumberFormat="1" applyFont="1" applyFill="1" applyBorder="1" applyAlignment="1" applyProtection="1">
      <alignment horizontal="center" vertical="center"/>
      <protection locked="0"/>
    </xf>
    <xf numFmtId="0" fontId="5" fillId="0" borderId="24" xfId="0" applyFont="1" applyFill="1" applyBorder="1" applyAlignment="1" applyProtection="1">
      <alignment horizontal="center" vertical="center"/>
      <protection locked="0"/>
    </xf>
    <xf numFmtId="0" fontId="5" fillId="0" borderId="28" xfId="0" applyFont="1" applyFill="1" applyBorder="1" applyAlignment="1" applyProtection="1">
      <alignment horizontal="center" vertical="center"/>
      <protection locked="0"/>
    </xf>
    <xf numFmtId="0" fontId="12" fillId="0" borderId="26" xfId="0" applyFont="1" applyFill="1" applyBorder="1" applyAlignment="1" applyProtection="1">
      <alignment horizontal="center" vertical="center"/>
      <protection locked="0"/>
    </xf>
    <xf numFmtId="0" fontId="12" fillId="0" borderId="2" xfId="0" applyFont="1" applyFill="1" applyBorder="1" applyAlignment="1" applyProtection="1">
      <alignment horizontal="center" vertical="center"/>
      <protection locked="0"/>
    </xf>
    <xf numFmtId="0" fontId="12" fillId="0" borderId="25" xfId="0" applyFont="1" applyFill="1" applyBorder="1" applyAlignment="1" applyProtection="1">
      <alignment horizontal="center" vertical="center"/>
      <protection locked="0"/>
    </xf>
    <xf numFmtId="0" fontId="12" fillId="0" borderId="27" xfId="0" applyFont="1" applyFill="1" applyBorder="1" applyAlignment="1" applyProtection="1">
      <alignment horizontal="center" vertical="center"/>
      <protection locked="0"/>
    </xf>
    <xf numFmtId="0" fontId="5" fillId="0" borderId="3" xfId="0"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8"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wrapText="1"/>
      <protection locked="0"/>
    </xf>
    <xf numFmtId="0" fontId="8" fillId="0" borderId="4" xfId="0" applyFont="1" applyFill="1" applyBorder="1" applyAlignment="1" applyProtection="1">
      <alignment horizontal="center" vertical="center" wrapText="1"/>
      <protection locked="0"/>
    </xf>
    <xf numFmtId="0" fontId="8" fillId="0" borderId="16"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13" xfId="0" applyFont="1" applyFill="1" applyBorder="1" applyAlignment="1" applyProtection="1">
      <alignment horizontal="center" vertical="center" wrapText="1"/>
      <protection locked="0"/>
    </xf>
    <xf numFmtId="0" fontId="8" fillId="0" borderId="17" xfId="0" applyFont="1" applyFill="1" applyBorder="1" applyAlignment="1" applyProtection="1">
      <alignment horizontal="center" vertical="center" wrapText="1"/>
      <protection locked="0"/>
    </xf>
    <xf numFmtId="0" fontId="4" fillId="0" borderId="44" xfId="0" applyFont="1" applyBorder="1" applyAlignment="1" applyProtection="1">
      <alignment horizontal="center"/>
      <protection locked="0"/>
    </xf>
    <xf numFmtId="0" fontId="4" fillId="0" borderId="48" xfId="0" applyFont="1" applyBorder="1" applyAlignment="1" applyProtection="1">
      <alignment horizontal="center"/>
      <protection locked="0"/>
    </xf>
    <xf numFmtId="0" fontId="4" fillId="0" borderId="49" xfId="0" applyFont="1" applyBorder="1" applyAlignment="1" applyProtection="1">
      <alignment horizontal="center"/>
      <protection locked="0"/>
    </xf>
    <xf numFmtId="0" fontId="4" fillId="0" borderId="51" xfId="0" applyFont="1" applyBorder="1" applyAlignment="1" applyProtection="1">
      <alignment horizontal="center"/>
      <protection locked="0"/>
    </xf>
    <xf numFmtId="0" fontId="4" fillId="0" borderId="28" xfId="0" applyFont="1" applyFill="1" applyBorder="1" applyAlignment="1" applyProtection="1">
      <alignment horizontal="center"/>
      <protection locked="0"/>
    </xf>
    <xf numFmtId="0" fontId="4" fillId="0" borderId="31" xfId="0" applyFont="1" applyFill="1" applyBorder="1" applyAlignment="1" applyProtection="1">
      <alignment horizontal="center"/>
      <protection locked="0"/>
    </xf>
    <xf numFmtId="0" fontId="12" fillId="0" borderId="52" xfId="0" applyFont="1" applyFill="1" applyBorder="1" applyAlignment="1" applyProtection="1">
      <alignment horizontal="center" vertical="center"/>
      <protection locked="0"/>
    </xf>
    <xf numFmtId="0" fontId="19" fillId="0" borderId="44" xfId="0" applyFont="1" applyFill="1" applyBorder="1" applyAlignment="1" applyProtection="1">
      <alignment horizontal="center" vertical="center"/>
      <protection locked="0"/>
    </xf>
    <xf numFmtId="0" fontId="19" fillId="0" borderId="15" xfId="0" applyFont="1" applyFill="1" applyBorder="1" applyAlignment="1" applyProtection="1">
      <alignment horizontal="center" vertical="center"/>
      <protection locked="0"/>
    </xf>
    <xf numFmtId="0" fontId="19" fillId="0" borderId="52" xfId="0" applyFont="1" applyFill="1" applyBorder="1" applyAlignment="1" applyProtection="1">
      <alignment horizontal="center" vertical="center"/>
      <protection locked="0"/>
    </xf>
    <xf numFmtId="0" fontId="4" fillId="0" borderId="24" xfId="0" applyFont="1" applyBorder="1" applyAlignment="1" applyProtection="1">
      <alignment horizontal="center"/>
      <protection locked="0"/>
    </xf>
    <xf numFmtId="0" fontId="4" fillId="0" borderId="43" xfId="0" applyFont="1" applyBorder="1" applyAlignment="1" applyProtection="1">
      <alignment horizontal="center"/>
      <protection locked="0"/>
    </xf>
    <xf numFmtId="0" fontId="4" fillId="0" borderId="38" xfId="0" applyFont="1" applyBorder="1" applyAlignment="1" applyProtection="1">
      <alignment horizontal="left"/>
      <protection locked="0"/>
    </xf>
    <xf numFmtId="0" fontId="4" fillId="0" borderId="44" xfId="0" applyFont="1" applyBorder="1" applyAlignment="1" applyProtection="1">
      <alignment horizontal="left"/>
      <protection locked="0"/>
    </xf>
    <xf numFmtId="182" fontId="4" fillId="3" borderId="38" xfId="0" applyNumberFormat="1" applyFont="1" applyFill="1" applyBorder="1" applyAlignment="1" applyProtection="1">
      <alignment horizontal="center"/>
    </xf>
    <xf numFmtId="0" fontId="4" fillId="0" borderId="22" xfId="0" applyFont="1" applyFill="1" applyBorder="1" applyAlignment="1" applyProtection="1">
      <alignment horizontal="center"/>
      <protection locked="0"/>
    </xf>
    <xf numFmtId="0" fontId="4" fillId="0" borderId="48" xfId="0" applyFont="1" applyFill="1" applyBorder="1" applyAlignment="1" applyProtection="1">
      <alignment horizontal="center"/>
      <protection locked="0"/>
    </xf>
    <xf numFmtId="0" fontId="4" fillId="0" borderId="49" xfId="0" applyFont="1" applyFill="1" applyBorder="1" applyAlignment="1" applyProtection="1">
      <alignment horizontal="center"/>
      <protection locked="0"/>
    </xf>
    <xf numFmtId="0" fontId="4" fillId="0" borderId="50" xfId="0" applyFont="1" applyBorder="1" applyAlignment="1" applyProtection="1">
      <alignment horizontal="center"/>
      <protection locked="0"/>
    </xf>
    <xf numFmtId="0" fontId="4" fillId="0" borderId="47" xfId="0" applyNumberFormat="1" applyFont="1" applyFill="1" applyBorder="1" applyAlignment="1" applyProtection="1">
      <alignment horizontal="center"/>
      <protection locked="0"/>
    </xf>
    <xf numFmtId="0" fontId="5" fillId="0" borderId="21" xfId="0" applyFont="1" applyBorder="1" applyAlignment="1" applyProtection="1">
      <alignment horizontal="center" vertical="center" wrapText="1"/>
      <protection locked="0"/>
    </xf>
    <xf numFmtId="0" fontId="5" fillId="0" borderId="19" xfId="0" applyFont="1" applyBorder="1" applyAlignment="1" applyProtection="1">
      <alignment horizontal="center" vertical="center" wrapText="1"/>
      <protection locked="0"/>
    </xf>
    <xf numFmtId="0" fontId="5" fillId="0" borderId="20" xfId="0" applyFont="1" applyBorder="1" applyAlignment="1" applyProtection="1">
      <alignment horizontal="center" vertical="center" wrapText="1"/>
      <protection locked="0"/>
    </xf>
    <xf numFmtId="0" fontId="4" fillId="0" borderId="13" xfId="0" applyFont="1" applyBorder="1" applyAlignment="1" applyProtection="1">
      <alignment vertical="center"/>
      <protection locked="0"/>
    </xf>
    <xf numFmtId="0" fontId="4" fillId="0" borderId="14" xfId="0" applyFont="1" applyBorder="1" applyAlignment="1" applyProtection="1">
      <alignment vertical="center"/>
      <protection locked="0"/>
    </xf>
    <xf numFmtId="0" fontId="5" fillId="0" borderId="29" xfId="0" applyFont="1" applyBorder="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38" xfId="0" applyFont="1" applyBorder="1" applyAlignment="1" applyProtection="1">
      <alignment horizontal="center" vertical="center"/>
      <protection locked="0"/>
    </xf>
    <xf numFmtId="186" fontId="22" fillId="0" borderId="23" xfId="0" applyNumberFormat="1" applyFont="1" applyFill="1" applyBorder="1" applyAlignment="1" applyProtection="1">
      <alignment vertical="center" wrapText="1"/>
      <protection locked="0"/>
    </xf>
    <xf numFmtId="186" fontId="22" fillId="0" borderId="5" xfId="0" applyNumberFormat="1" applyFont="1" applyFill="1" applyBorder="1" applyAlignment="1" applyProtection="1">
      <alignment vertical="center" wrapText="1"/>
      <protection locked="0"/>
    </xf>
    <xf numFmtId="186" fontId="22" fillId="0" borderId="35" xfId="0" applyNumberFormat="1" applyFont="1" applyFill="1" applyBorder="1" applyAlignment="1" applyProtection="1">
      <alignment vertical="center" wrapText="1"/>
      <protection locked="0"/>
    </xf>
    <xf numFmtId="186" fontId="22" fillId="0" borderId="14" xfId="0" applyNumberFormat="1" applyFont="1" applyFill="1" applyBorder="1" applyAlignment="1" applyProtection="1">
      <alignment vertical="center" wrapText="1"/>
      <protection locked="0"/>
    </xf>
    <xf numFmtId="0" fontId="12" fillId="0" borderId="3" xfId="0" applyFont="1" applyBorder="1" applyAlignment="1" applyProtection="1">
      <alignment horizontal="center" vertical="center" wrapText="1"/>
      <protection locked="0"/>
    </xf>
    <xf numFmtId="0" fontId="12" fillId="0" borderId="16" xfId="0" applyFont="1" applyBorder="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7" xfId="0" applyFont="1" applyBorder="1" applyAlignment="1" applyProtection="1">
      <alignment horizontal="center" vertical="center"/>
      <protection locked="0"/>
    </xf>
    <xf numFmtId="0" fontId="5" fillId="0" borderId="23" xfId="0" applyFont="1" applyBorder="1" applyAlignment="1" applyProtection="1">
      <alignment horizontal="left" vertical="center"/>
      <protection locked="0"/>
    </xf>
    <xf numFmtId="0" fontId="5" fillId="0" borderId="4" xfId="0" applyFont="1" applyBorder="1" applyAlignment="1" applyProtection="1">
      <alignment horizontal="left" vertical="center"/>
      <protection locked="0"/>
    </xf>
    <xf numFmtId="0" fontId="5" fillId="0" borderId="5" xfId="0" applyFont="1" applyBorder="1" applyAlignment="1" applyProtection="1">
      <alignment horizontal="left" vertical="center"/>
      <protection locked="0"/>
    </xf>
    <xf numFmtId="0" fontId="4" fillId="0" borderId="38" xfId="0" applyFont="1" applyFill="1" applyBorder="1" applyAlignment="1" applyProtection="1">
      <alignment horizontal="center"/>
      <protection locked="0"/>
    </xf>
    <xf numFmtId="0" fontId="4" fillId="0" borderId="33" xfId="0" applyFont="1" applyFill="1" applyBorder="1" applyAlignment="1" applyProtection="1">
      <alignment horizontal="center"/>
      <protection locked="0"/>
    </xf>
    <xf numFmtId="0" fontId="4" fillId="0" borderId="47" xfId="0" applyFont="1" applyFill="1" applyBorder="1" applyAlignment="1" applyProtection="1">
      <alignment horizontal="center"/>
      <protection locked="0"/>
    </xf>
    <xf numFmtId="0" fontId="4" fillId="0" borderId="51" xfId="0" applyFont="1" applyFill="1" applyBorder="1" applyAlignment="1" applyProtection="1">
      <alignment horizontal="center"/>
      <protection locked="0"/>
    </xf>
    <xf numFmtId="0" fontId="5" fillId="0" borderId="24" xfId="0" applyFont="1" applyBorder="1" applyAlignment="1" applyProtection="1">
      <alignment horizontal="center" vertical="center"/>
      <protection locked="0"/>
    </xf>
    <xf numFmtId="0" fontId="5" fillId="0" borderId="28"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4" fillId="0" borderId="4" xfId="0" applyFont="1" applyBorder="1" applyAlignment="1" applyProtection="1">
      <alignment vertical="center"/>
      <protection locked="0"/>
    </xf>
    <xf numFmtId="0" fontId="4" fillId="0" borderId="5" xfId="0" applyFont="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0" borderId="10" xfId="0" applyFont="1" applyBorder="1" applyAlignment="1" applyProtection="1">
      <alignment vertical="center"/>
      <protection locked="0"/>
    </xf>
    <xf numFmtId="178" fontId="5" fillId="0" borderId="35" xfId="0" applyNumberFormat="1" applyFont="1" applyBorder="1" applyAlignment="1" applyProtection="1">
      <alignment horizontal="center" vertical="center"/>
      <protection locked="0"/>
    </xf>
    <xf numFmtId="178" fontId="5" fillId="0" borderId="13" xfId="0" applyNumberFormat="1"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176" fontId="4" fillId="0" borderId="28" xfId="0" applyNumberFormat="1" applyFont="1" applyBorder="1" applyAlignment="1" applyProtection="1">
      <alignment horizontal="center"/>
      <protection locked="0"/>
    </xf>
    <xf numFmtId="0" fontId="5" fillId="0" borderId="43"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185" fontId="4" fillId="0" borderId="44" xfId="0" applyNumberFormat="1" applyFont="1" applyBorder="1" applyAlignment="1" applyProtection="1">
      <alignment horizontal="center"/>
      <protection locked="0"/>
    </xf>
    <xf numFmtId="185" fontId="4" fillId="0" borderId="15" xfId="0" applyNumberFormat="1" applyFont="1" applyBorder="1" applyAlignment="1" applyProtection="1">
      <alignment horizontal="center"/>
      <protection locked="0"/>
    </xf>
    <xf numFmtId="185" fontId="4" fillId="0" borderId="52" xfId="0" applyNumberFormat="1" applyFont="1" applyBorder="1" applyAlignment="1" applyProtection="1">
      <alignment horizontal="center"/>
      <protection locked="0"/>
    </xf>
    <xf numFmtId="0" fontId="4" fillId="0" borderId="33" xfId="0" applyFont="1" applyBorder="1" applyAlignment="1" applyProtection="1">
      <alignment horizontal="center"/>
      <protection locked="0"/>
    </xf>
    <xf numFmtId="0" fontId="4" fillId="0" borderId="50" xfId="0" quotePrefix="1" applyFont="1" applyBorder="1" applyAlignment="1" applyProtection="1">
      <alignment horizontal="center"/>
      <protection locked="0"/>
    </xf>
    <xf numFmtId="185" fontId="4" fillId="0" borderId="47" xfId="0" applyNumberFormat="1" applyFont="1" applyBorder="1" applyAlignment="1" applyProtection="1">
      <alignment horizontal="center"/>
      <protection locked="0"/>
    </xf>
    <xf numFmtId="0" fontId="4" fillId="0" borderId="47" xfId="0" quotePrefix="1" applyFont="1" applyBorder="1" applyAlignment="1" applyProtection="1">
      <alignment horizontal="center"/>
      <protection locked="0"/>
    </xf>
    <xf numFmtId="184" fontId="4" fillId="0" borderId="44" xfId="0" applyNumberFormat="1" applyFont="1" applyBorder="1" applyAlignment="1" applyProtection="1">
      <alignment horizontal="center"/>
      <protection locked="0"/>
    </xf>
    <xf numFmtId="184" fontId="4" fillId="0" borderId="15" xfId="0" applyNumberFormat="1" applyFont="1" applyBorder="1" applyAlignment="1" applyProtection="1">
      <alignment horizontal="center"/>
      <protection locked="0"/>
    </xf>
    <xf numFmtId="184" fontId="4" fillId="0" borderId="52" xfId="0" applyNumberFormat="1" applyFont="1" applyBorder="1" applyAlignment="1" applyProtection="1">
      <alignment horizontal="center"/>
      <protection locked="0"/>
    </xf>
    <xf numFmtId="0" fontId="4" fillId="0" borderId="25" xfId="0" quotePrefix="1" applyFont="1" applyBorder="1" applyAlignment="1" applyProtection="1">
      <alignment horizontal="center"/>
      <protection locked="0"/>
    </xf>
    <xf numFmtId="183" fontId="4" fillId="3" borderId="52" xfId="0" applyNumberFormat="1" applyFont="1" applyFill="1" applyBorder="1" applyAlignment="1" applyProtection="1">
      <alignment horizontal="center"/>
    </xf>
    <xf numFmtId="185" fontId="4" fillId="0" borderId="38" xfId="0" applyNumberFormat="1" applyFont="1" applyBorder="1" applyAlignment="1" applyProtection="1">
      <alignment horizontal="center"/>
      <protection locked="0"/>
    </xf>
    <xf numFmtId="0" fontId="4" fillId="0" borderId="9" xfId="0" quotePrefix="1" applyFont="1" applyBorder="1" applyAlignment="1" applyProtection="1">
      <alignment horizontal="center"/>
      <protection locked="0"/>
    </xf>
  </cellXfs>
  <cellStyles count="3">
    <cellStyle name="標準" xfId="0" builtinId="0"/>
    <cellStyle name="標準_Schedule 1 vol.2_2010_Jan" xfId="2"/>
    <cellStyle name="標準_ピペット_HGQC1308計算ｼｰﾄ1"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66675</xdr:rowOff>
    </xdr:from>
    <xdr:to>
      <xdr:col>5</xdr:col>
      <xdr:colOff>342900</xdr:colOff>
      <xdr:row>2</xdr:row>
      <xdr:rowOff>161925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66675"/>
          <a:ext cx="15716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103135</xdr:colOff>
      <xdr:row>19</xdr:row>
      <xdr:rowOff>243689</xdr:rowOff>
    </xdr:from>
    <xdr:to>
      <xdr:col>22</xdr:col>
      <xdr:colOff>288226</xdr:colOff>
      <xdr:row>37</xdr:row>
      <xdr:rowOff>112815</xdr:rowOff>
    </xdr:to>
    <xdr:grpSp>
      <xdr:nvGrpSpPr>
        <xdr:cNvPr id="3" name="グループ化 2"/>
        <xdr:cNvGrpSpPr/>
      </xdr:nvGrpSpPr>
      <xdr:grpSpPr>
        <a:xfrm>
          <a:off x="750835" y="4225139"/>
          <a:ext cx="7795566" cy="3621976"/>
          <a:chOff x="71917" y="2152810"/>
          <a:chExt cx="6452708" cy="2609689"/>
        </a:xfrm>
      </xdr:grpSpPr>
      <xdr:grpSp>
        <xdr:nvGrpSpPr>
          <xdr:cNvPr id="4" name="グループ化 3"/>
          <xdr:cNvGrpSpPr/>
        </xdr:nvGrpSpPr>
        <xdr:grpSpPr>
          <a:xfrm>
            <a:off x="71917" y="2152810"/>
            <a:ext cx="6381570" cy="2609689"/>
            <a:chOff x="71917" y="2152810"/>
            <a:chExt cx="6381570" cy="2609689"/>
          </a:xfrm>
        </xdr:grpSpPr>
        <xdr:sp macro="" textlink="">
          <xdr:nvSpPr>
            <xdr:cNvPr id="9" name="角丸四角形 8"/>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角丸四角形 9"/>
            <xdr:cNvSpPr/>
          </xdr:nvSpPr>
          <xdr:spPr>
            <a:xfrm>
              <a:off x="885825" y="2238376"/>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1" name="角丸四角形 10"/>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12" name="右矢印吹き出し 11"/>
            <xdr:cNvSpPr/>
          </xdr:nvSpPr>
          <xdr:spPr>
            <a:xfrm>
              <a:off x="71919" y="2152810"/>
              <a:ext cx="901525"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印字部</a:t>
              </a:r>
            </a:p>
          </xdr:txBody>
        </xdr:sp>
        <xdr:sp macro="" textlink="">
          <xdr:nvSpPr>
            <xdr:cNvPr id="13" name="角丸四角形 12"/>
            <xdr:cNvSpPr/>
          </xdr:nvSpPr>
          <xdr:spPr>
            <a:xfrm>
              <a:off x="4158200" y="2216835"/>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4" name="右矢印吹き出し 13"/>
            <xdr:cNvSpPr/>
          </xdr:nvSpPr>
          <xdr:spPr>
            <a:xfrm>
              <a:off x="71917" y="2464658"/>
              <a:ext cx="912736"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手書き部</a:t>
              </a:r>
            </a:p>
          </xdr:txBody>
        </xdr:sp>
      </xdr:grpSp>
      <xdr:grpSp>
        <xdr:nvGrpSpPr>
          <xdr:cNvPr id="5" name="グループ化 4"/>
          <xdr:cNvGrpSpPr/>
        </xdr:nvGrpSpPr>
        <xdr:grpSpPr>
          <a:xfrm>
            <a:off x="86541" y="2209800"/>
            <a:ext cx="6438084" cy="2552699"/>
            <a:chOff x="-3151959" y="2209800"/>
            <a:chExt cx="6438084" cy="2552699"/>
          </a:xfrm>
        </xdr:grpSpPr>
        <xdr:sp macro="" textlink="">
          <xdr:nvSpPr>
            <xdr:cNvPr id="6" name="角丸四角形 5"/>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角丸四角形 6"/>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8" name="右矢印吹き出し 7"/>
            <xdr:cNvSpPr/>
          </xdr:nvSpPr>
          <xdr:spPr>
            <a:xfrm>
              <a:off x="-3151959" y="3479466"/>
              <a:ext cx="2098630" cy="353823"/>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a:solidFill>
                    <a:sysClr val="windowText" lastClr="000000"/>
                  </a:solidFill>
                </a:rPr>
                <a:t>印字部</a:t>
              </a:r>
            </a:p>
          </xdr:txBody>
        </xdr:sp>
      </xdr:grpSp>
    </xdr:grpSp>
    <xdr:clientData/>
  </xdr:twoCellAnchor>
  <mc:AlternateContent xmlns:mc="http://schemas.openxmlformats.org/markup-compatibility/2006">
    <mc:Choice xmlns:a14="http://schemas.microsoft.com/office/drawing/2010/main" Requires="a14">
      <xdr:twoCellAnchor>
        <xdr:from>
          <xdr:col>25</xdr:col>
          <xdr:colOff>0</xdr:colOff>
          <xdr:row>1</xdr:row>
          <xdr:rowOff>133350</xdr:rowOff>
        </xdr:from>
        <xdr:to>
          <xdr:col>26</xdr:col>
          <xdr:colOff>266700</xdr:colOff>
          <xdr:row>6</xdr:row>
          <xdr:rowOff>9525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47625</xdr:rowOff>
        </xdr:from>
        <xdr:to>
          <xdr:col>26</xdr:col>
          <xdr:colOff>342900</xdr:colOff>
          <xdr:row>11</xdr:row>
          <xdr:rowOff>104775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2</xdr:row>
          <xdr:rowOff>19050</xdr:rowOff>
        </xdr:from>
        <xdr:to>
          <xdr:col>30</xdr:col>
          <xdr:colOff>76200</xdr:colOff>
          <xdr:row>6</xdr:row>
          <xdr:rowOff>104775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13</xdr:row>
          <xdr:rowOff>0</xdr:rowOff>
        </xdr:from>
        <xdr:to>
          <xdr:col>26</xdr:col>
          <xdr:colOff>381000</xdr:colOff>
          <xdr:row>16</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16</xdr:row>
          <xdr:rowOff>0</xdr:rowOff>
        </xdr:from>
        <xdr:to>
          <xdr:col>8</xdr:col>
          <xdr:colOff>0</xdr:colOff>
          <xdr:row>17</xdr:row>
          <xdr:rowOff>0</xdr:rowOff>
        </xdr:to>
        <xdr:sp macro="" textlink="">
          <xdr:nvSpPr>
            <xdr:cNvPr id="2055" name="NoAbnormalityCheckBox"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16</xdr:row>
          <xdr:rowOff>0</xdr:rowOff>
        </xdr:from>
        <xdr:to>
          <xdr:col>11</xdr:col>
          <xdr:colOff>0</xdr:colOff>
          <xdr:row>17</xdr:row>
          <xdr:rowOff>0</xdr:rowOff>
        </xdr:to>
        <xdr:sp macro="" textlink="">
          <xdr:nvSpPr>
            <xdr:cNvPr id="2057" name="AbnormalityCheckBox"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16</xdr:row>
          <xdr:rowOff>0</xdr:rowOff>
        </xdr:from>
        <xdr:to>
          <xdr:col>21</xdr:col>
          <xdr:colOff>66675</xdr:colOff>
          <xdr:row>17</xdr:row>
          <xdr:rowOff>0</xdr:rowOff>
        </xdr:to>
        <xdr:sp macro="" textlink="">
          <xdr:nvSpPr>
            <xdr:cNvPr id="2058" name="NoLeakCheckBox"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16</xdr:row>
          <xdr:rowOff>0</xdr:rowOff>
        </xdr:from>
        <xdr:to>
          <xdr:col>23</xdr:col>
          <xdr:colOff>133350</xdr:colOff>
          <xdr:row>17</xdr:row>
          <xdr:rowOff>0</xdr:rowOff>
        </xdr:to>
        <xdr:sp macro="" textlink="">
          <xdr:nvSpPr>
            <xdr:cNvPr id="2059" name="LeakCheckBox"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0</xdr:rowOff>
        </xdr:from>
        <xdr:to>
          <xdr:col>6</xdr:col>
          <xdr:colOff>0</xdr:colOff>
          <xdr:row>19</xdr:row>
          <xdr:rowOff>0</xdr:rowOff>
        </xdr:to>
        <xdr:sp macro="" textlink="">
          <xdr:nvSpPr>
            <xdr:cNvPr id="2060" name="UnDegradationCheckBox"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18</xdr:row>
          <xdr:rowOff>0</xdr:rowOff>
        </xdr:from>
        <xdr:to>
          <xdr:col>8</xdr:col>
          <xdr:colOff>171450</xdr:colOff>
          <xdr:row>19</xdr:row>
          <xdr:rowOff>0</xdr:rowOff>
        </xdr:to>
        <xdr:sp macro="" textlink="">
          <xdr:nvSpPr>
            <xdr:cNvPr id="2061" name="DisassemblyCleaningCheckBox"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18</xdr:row>
          <xdr:rowOff>0</xdr:rowOff>
        </xdr:from>
        <xdr:to>
          <xdr:col>11</xdr:col>
          <xdr:colOff>295275</xdr:colOff>
          <xdr:row>19</xdr:row>
          <xdr:rowOff>0</xdr:rowOff>
        </xdr:to>
        <xdr:sp macro="" textlink="">
          <xdr:nvSpPr>
            <xdr:cNvPr id="2063" name="TeflonSealCheckBox"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xdr:row>
          <xdr:rowOff>0</xdr:rowOff>
        </xdr:from>
        <xdr:to>
          <xdr:col>14</xdr:col>
          <xdr:colOff>142875</xdr:colOff>
          <xdr:row>19</xdr:row>
          <xdr:rowOff>0</xdr:rowOff>
        </xdr:to>
        <xdr:sp macro="" textlink="">
          <xdr:nvSpPr>
            <xdr:cNvPr id="2064" name="ORingCheckBox"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228600</xdr:colOff>
          <xdr:row>18</xdr:row>
          <xdr:rowOff>0</xdr:rowOff>
        </xdr:from>
        <xdr:to>
          <xdr:col>18</xdr:col>
          <xdr:colOff>0</xdr:colOff>
          <xdr:row>19</xdr:row>
          <xdr:rowOff>0</xdr:rowOff>
        </xdr:to>
        <xdr:sp macro="" textlink="">
          <xdr:nvSpPr>
            <xdr:cNvPr id="2067" name="OtherCheckBox"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209550</xdr:rowOff>
        </xdr:from>
        <xdr:to>
          <xdr:col>23</xdr:col>
          <xdr:colOff>409575</xdr:colOff>
          <xdr:row>18</xdr:row>
          <xdr:rowOff>209550</xdr:rowOff>
        </xdr:to>
        <xdr:sp macro="" textlink="">
          <xdr:nvSpPr>
            <xdr:cNvPr id="2068" name="AfterNoLeakCheckBox"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0</xdr:rowOff>
        </xdr:from>
        <xdr:to>
          <xdr:col>24</xdr:col>
          <xdr:colOff>0</xdr:colOff>
          <xdr:row>17</xdr:row>
          <xdr:rowOff>266700</xdr:rowOff>
        </xdr:to>
        <xdr:sp macro="" textlink="">
          <xdr:nvSpPr>
            <xdr:cNvPr id="2070" name="AfterLeakCheckBox" hidden="1">
              <a:extLst>
                <a:ext uri="{63B3BB69-23CF-44E3-9099-C40C66FF867C}">
                  <a14:compatExt spid="_x0000_s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18</xdr:row>
          <xdr:rowOff>66675</xdr:rowOff>
        </xdr:from>
        <xdr:to>
          <xdr:col>24</xdr:col>
          <xdr:colOff>0</xdr:colOff>
          <xdr:row>19</xdr:row>
          <xdr:rowOff>0</xdr:rowOff>
        </xdr:to>
        <xdr:sp macro="" textlink="">
          <xdr:nvSpPr>
            <xdr:cNvPr id="2071" name="AfterNotCoveredCheckBox" hidden="1">
              <a:extLst>
                <a:ext uri="{63B3BB69-23CF-44E3-9099-C40C66FF867C}">
                  <a14:compatExt spid="_x0000_s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63</xdr:row>
          <xdr:rowOff>0</xdr:rowOff>
        </xdr:from>
        <xdr:to>
          <xdr:col>6</xdr:col>
          <xdr:colOff>0</xdr:colOff>
          <xdr:row>63</xdr:row>
          <xdr:rowOff>314325</xdr:rowOff>
        </xdr:to>
        <xdr:sp macro="" textlink="">
          <xdr:nvSpPr>
            <xdr:cNvPr id="2072" name="PassCheckBox" hidden="1">
              <a:extLst>
                <a:ext uri="{63B3BB69-23CF-44E3-9099-C40C66FF867C}">
                  <a14:compatExt spid="_x0000_s2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63</xdr:row>
          <xdr:rowOff>209550</xdr:rowOff>
        </xdr:from>
        <xdr:to>
          <xdr:col>5</xdr:col>
          <xdr:colOff>638175</xdr:colOff>
          <xdr:row>64</xdr:row>
          <xdr:rowOff>142875</xdr:rowOff>
        </xdr:to>
        <xdr:sp macro="" textlink="">
          <xdr:nvSpPr>
            <xdr:cNvPr id="2073" name="WarningCheckBox" hidden="1">
              <a:extLst>
                <a:ext uri="{63B3BB69-23CF-44E3-9099-C40C66FF867C}">
                  <a14:compatExt spid="_x0000_s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64</xdr:row>
          <xdr:rowOff>66675</xdr:rowOff>
        </xdr:from>
        <xdr:to>
          <xdr:col>6</xdr:col>
          <xdr:colOff>0</xdr:colOff>
          <xdr:row>65</xdr:row>
          <xdr:rowOff>0</xdr:rowOff>
        </xdr:to>
        <xdr:sp macro="" textlink="">
          <xdr:nvSpPr>
            <xdr:cNvPr id="2074" name="FailureCheckBox" hidden="1">
              <a:extLst>
                <a:ext uri="{63B3BB69-23CF-44E3-9099-C40C66FF867C}">
                  <a14:compatExt spid="_x0000_s2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17</xdr:row>
          <xdr:rowOff>0</xdr:rowOff>
        </xdr:from>
        <xdr:to>
          <xdr:col>18</xdr:col>
          <xdr:colOff>0</xdr:colOff>
          <xdr:row>18</xdr:row>
          <xdr:rowOff>0</xdr:rowOff>
        </xdr:to>
        <xdr:sp macro="" textlink="">
          <xdr:nvSpPr>
            <xdr:cNvPr id="2088" name="NotCoveredCheckBox"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4.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topLeftCell="C1" zoomScaleNormal="100" workbookViewId="0">
      <selection activeCell="I7" sqref="I7"/>
    </sheetView>
  </sheetViews>
  <sheetFormatPr defaultRowHeight="13.5"/>
  <cols>
    <col min="1" max="1" width="11" bestFit="1" customWidth="1"/>
    <col min="2" max="2" width="28.75" bestFit="1" customWidth="1"/>
    <col min="3" max="4" width="14.875" bestFit="1" customWidth="1"/>
    <col min="5" max="5" width="27.625" bestFit="1" customWidth="1"/>
    <col min="6" max="6" width="11.25" bestFit="1" customWidth="1"/>
    <col min="8" max="8" width="34.125" bestFit="1" customWidth="1"/>
    <col min="9" max="9" width="14.75" bestFit="1" customWidth="1"/>
    <col min="14" max="14" width="14.75" customWidth="1"/>
  </cols>
  <sheetData>
    <row r="1" spans="1:23" s="81" customFormat="1" ht="42.75">
      <c r="A1" s="69" t="s">
        <v>154</v>
      </c>
      <c r="B1" s="70" t="s">
        <v>194</v>
      </c>
      <c r="C1" s="71" t="s">
        <v>195</v>
      </c>
      <c r="D1" s="72" t="s">
        <v>196</v>
      </c>
      <c r="E1" s="73" t="s">
        <v>197</v>
      </c>
      <c r="F1" s="74" t="s">
        <v>198</v>
      </c>
      <c r="G1" s="75" t="s">
        <v>199</v>
      </c>
      <c r="H1" s="71" t="s">
        <v>200</v>
      </c>
      <c r="I1" s="71" t="s">
        <v>201</v>
      </c>
      <c r="J1" s="71" t="s">
        <v>202</v>
      </c>
      <c r="K1" s="71" t="s">
        <v>203</v>
      </c>
      <c r="L1" s="71" t="s">
        <v>204</v>
      </c>
      <c r="M1" s="76" t="s">
        <v>205</v>
      </c>
      <c r="N1" s="71" t="s">
        <v>206</v>
      </c>
      <c r="O1" s="77" t="s">
        <v>207</v>
      </c>
      <c r="P1" s="76" t="s">
        <v>208</v>
      </c>
      <c r="Q1" s="74" t="s">
        <v>209</v>
      </c>
      <c r="R1" s="74" t="s">
        <v>210</v>
      </c>
      <c r="S1" s="78" t="s">
        <v>211</v>
      </c>
      <c r="T1" s="79" t="s">
        <v>211</v>
      </c>
      <c r="U1" s="80" t="s">
        <v>212</v>
      </c>
      <c r="V1" s="80" t="s">
        <v>144</v>
      </c>
      <c r="W1" s="80" t="s">
        <v>144</v>
      </c>
    </row>
    <row r="2" spans="1:23" s="81" customFormat="1" ht="14.25">
      <c r="A2" s="82" t="s">
        <v>155</v>
      </c>
      <c r="B2" s="82"/>
      <c r="C2" s="83" t="s">
        <v>213</v>
      </c>
      <c r="D2" s="84" t="s">
        <v>214</v>
      </c>
      <c r="E2" s="85"/>
      <c r="F2" s="86" t="s">
        <v>156</v>
      </c>
      <c r="G2" s="86" t="s">
        <v>215</v>
      </c>
      <c r="H2" s="83" t="s">
        <v>186</v>
      </c>
      <c r="I2" s="83" t="s">
        <v>216</v>
      </c>
      <c r="J2" s="87" t="s">
        <v>157</v>
      </c>
      <c r="K2" s="83" t="s">
        <v>187</v>
      </c>
      <c r="L2" s="87" t="s">
        <v>217</v>
      </c>
      <c r="M2" s="87" t="s">
        <v>158</v>
      </c>
      <c r="N2" s="83" t="s">
        <v>159</v>
      </c>
      <c r="O2" s="86">
        <v>6060</v>
      </c>
      <c r="P2" s="83" t="s">
        <v>160</v>
      </c>
      <c r="Q2" s="88" t="s">
        <v>161</v>
      </c>
      <c r="R2" s="88" t="s">
        <v>162</v>
      </c>
      <c r="S2" s="88" t="s">
        <v>218</v>
      </c>
      <c r="T2" s="89" t="s">
        <v>219</v>
      </c>
    </row>
    <row r="4" spans="1:23">
      <c r="A4" t="s">
        <v>22</v>
      </c>
      <c r="B4" t="s">
        <v>28</v>
      </c>
      <c r="E4" t="s">
        <v>29</v>
      </c>
      <c r="H4" t="s">
        <v>140</v>
      </c>
    </row>
    <row r="5" spans="1:23">
      <c r="A5" t="s">
        <v>23</v>
      </c>
      <c r="B5" t="s">
        <v>183</v>
      </c>
      <c r="C5" t="s">
        <v>12</v>
      </c>
      <c r="E5" t="s">
        <v>21</v>
      </c>
      <c r="F5" t="s">
        <v>12</v>
      </c>
      <c r="H5" t="s">
        <v>142</v>
      </c>
      <c r="I5" t="s">
        <v>12</v>
      </c>
    </row>
    <row r="6" spans="1:23">
      <c r="A6" t="s">
        <v>24</v>
      </c>
      <c r="B6" t="s">
        <v>13</v>
      </c>
      <c r="C6" t="s">
        <v>134</v>
      </c>
      <c r="E6" t="s">
        <v>189</v>
      </c>
      <c r="F6" t="s">
        <v>191</v>
      </c>
      <c r="H6" t="s">
        <v>165</v>
      </c>
      <c r="I6" t="s">
        <v>167</v>
      </c>
    </row>
    <row r="7" spans="1:23">
      <c r="A7" t="s">
        <v>25</v>
      </c>
      <c r="B7" t="s">
        <v>14</v>
      </c>
      <c r="C7" s="67" t="s">
        <v>139</v>
      </c>
      <c r="E7" t="s">
        <v>190</v>
      </c>
      <c r="H7" t="s">
        <v>166</v>
      </c>
      <c r="I7" t="s">
        <v>152</v>
      </c>
    </row>
    <row r="8" spans="1:23">
      <c r="A8" t="s">
        <v>26</v>
      </c>
      <c r="B8" t="s">
        <v>181</v>
      </c>
      <c r="C8">
        <v>2</v>
      </c>
      <c r="E8" t="s">
        <v>15</v>
      </c>
      <c r="F8" t="s">
        <v>105</v>
      </c>
      <c r="H8" t="s">
        <v>192</v>
      </c>
      <c r="I8">
        <v>2</v>
      </c>
    </row>
    <row r="9" spans="1:23">
      <c r="A9" t="s">
        <v>27</v>
      </c>
      <c r="B9" t="s">
        <v>172</v>
      </c>
      <c r="C9" t="s">
        <v>120</v>
      </c>
      <c r="E9" t="s">
        <v>16</v>
      </c>
      <c r="F9" t="s">
        <v>106</v>
      </c>
      <c r="H9" t="s">
        <v>193</v>
      </c>
      <c r="I9" t="s">
        <v>147</v>
      </c>
    </row>
    <row r="10" spans="1:23">
      <c r="A10" t="s">
        <v>31</v>
      </c>
      <c r="B10" t="s">
        <v>171</v>
      </c>
      <c r="C10" t="s">
        <v>135</v>
      </c>
      <c r="E10" t="s">
        <v>17</v>
      </c>
      <c r="F10" t="s">
        <v>107</v>
      </c>
      <c r="H10" t="s">
        <v>143</v>
      </c>
      <c r="I10" t="s">
        <v>148</v>
      </c>
    </row>
    <row r="11" spans="1:23">
      <c r="B11" t="s">
        <v>174</v>
      </c>
      <c r="C11" s="68" t="s">
        <v>136</v>
      </c>
      <c r="E11" t="s">
        <v>30</v>
      </c>
      <c r="F11" t="s">
        <v>109</v>
      </c>
      <c r="H11" t="s">
        <v>168</v>
      </c>
      <c r="I11" t="s">
        <v>121</v>
      </c>
    </row>
    <row r="12" spans="1:23">
      <c r="B12" t="s">
        <v>178</v>
      </c>
      <c r="C12" s="68" t="s">
        <v>182</v>
      </c>
      <c r="E12" t="s">
        <v>18</v>
      </c>
      <c r="F12" t="s">
        <v>108</v>
      </c>
      <c r="H12" t="s">
        <v>170</v>
      </c>
      <c r="I12" t="s">
        <v>149</v>
      </c>
    </row>
    <row r="13" spans="1:23">
      <c r="B13" t="s">
        <v>175</v>
      </c>
      <c r="C13" s="68" t="s">
        <v>137</v>
      </c>
      <c r="E13" t="s">
        <v>117</v>
      </c>
      <c r="F13" t="s">
        <v>110</v>
      </c>
      <c r="H13" t="s">
        <v>169</v>
      </c>
      <c r="I13" t="s">
        <v>150</v>
      </c>
    </row>
    <row r="14" spans="1:23">
      <c r="B14" s="68" t="s">
        <v>179</v>
      </c>
      <c r="C14" s="68" t="s">
        <v>138</v>
      </c>
      <c r="E14" t="s">
        <v>118</v>
      </c>
      <c r="F14" t="s">
        <v>111</v>
      </c>
      <c r="H14" t="s">
        <v>145</v>
      </c>
    </row>
    <row r="15" spans="1:23">
      <c r="B15" t="s">
        <v>185</v>
      </c>
      <c r="C15" s="68" t="s">
        <v>164</v>
      </c>
      <c r="E15" t="s">
        <v>19</v>
      </c>
      <c r="F15" t="s">
        <v>112</v>
      </c>
    </row>
    <row r="16" spans="1:23">
      <c r="B16" t="s">
        <v>176</v>
      </c>
      <c r="C16" s="68" t="s">
        <v>153</v>
      </c>
      <c r="E16" t="s">
        <v>20</v>
      </c>
      <c r="F16" t="s">
        <v>113</v>
      </c>
    </row>
    <row r="17" spans="2:6">
      <c r="B17" s="68" t="s">
        <v>177</v>
      </c>
      <c r="C17" s="68" t="s">
        <v>180</v>
      </c>
      <c r="E17" t="s">
        <v>32</v>
      </c>
      <c r="F17" t="s">
        <v>119</v>
      </c>
    </row>
    <row r="18" spans="2:6">
      <c r="B18" t="s">
        <v>173</v>
      </c>
      <c r="C18" s="68" t="s">
        <v>184</v>
      </c>
      <c r="E18" t="s">
        <v>33</v>
      </c>
      <c r="F18" t="s">
        <v>114</v>
      </c>
    </row>
    <row r="19" spans="2:6">
      <c r="E19" t="s">
        <v>122</v>
      </c>
      <c r="F19" t="s">
        <v>125</v>
      </c>
    </row>
    <row r="20" spans="2:6">
      <c r="E20" t="s">
        <v>123</v>
      </c>
      <c r="F20" t="s">
        <v>124</v>
      </c>
    </row>
    <row r="21" spans="2:6">
      <c r="E21" t="s">
        <v>116</v>
      </c>
      <c r="F21" t="s">
        <v>115</v>
      </c>
    </row>
    <row r="22" spans="2:6">
      <c r="E22" t="s">
        <v>129</v>
      </c>
      <c r="F22" t="s">
        <v>130</v>
      </c>
    </row>
    <row r="25" spans="2:6">
      <c r="B25" s="68"/>
      <c r="C25" s="68"/>
    </row>
    <row r="26" spans="2:6">
      <c r="B26" s="68"/>
      <c r="C26" s="68"/>
    </row>
    <row r="27" spans="2:6">
      <c r="B27" s="68"/>
      <c r="C27" s="68"/>
    </row>
    <row r="28" spans="2:6">
      <c r="B28" s="68"/>
      <c r="C28" s="68"/>
    </row>
    <row r="29" spans="2:6">
      <c r="B29" s="68"/>
      <c r="C29" s="68"/>
    </row>
    <row r="30" spans="2:6">
      <c r="B30" s="68"/>
      <c r="C30" s="68"/>
    </row>
    <row r="31" spans="2:6">
      <c r="B31" s="68"/>
      <c r="C31" s="68"/>
    </row>
    <row r="32" spans="2:6">
      <c r="B32" s="68"/>
      <c r="C32" s="68"/>
    </row>
    <row r="33" spans="2:3">
      <c r="B33" s="68"/>
      <c r="C33" s="68"/>
    </row>
    <row r="34" spans="2:3">
      <c r="B34" s="68"/>
      <c r="C34" s="68"/>
    </row>
    <row r="35" spans="2:3">
      <c r="B35" s="68"/>
      <c r="C35" s="68"/>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D26" sqref="D26"/>
    </sheetView>
  </sheetViews>
  <sheetFormatPr defaultRowHeight="13.5"/>
  <cols>
    <col min="1" max="1" width="9.5" style="90" bestFit="1" customWidth="1"/>
    <col min="2" max="4" width="14.875" style="91" bestFit="1" customWidth="1"/>
    <col min="5" max="5" width="19.875" style="90" customWidth="1"/>
  </cols>
  <sheetData>
    <row r="1" spans="1:5">
      <c r="A1" s="92" t="s">
        <v>11</v>
      </c>
      <c r="B1" s="93" t="s">
        <v>151</v>
      </c>
      <c r="C1" s="93" t="s">
        <v>141</v>
      </c>
      <c r="D1" s="93" t="s">
        <v>144</v>
      </c>
      <c r="E1" s="92" t="s">
        <v>146</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6"/>
    <pageSetUpPr fitToPage="1"/>
  </sheetPr>
  <dimension ref="A1:AI75"/>
  <sheetViews>
    <sheetView tabSelected="1" view="pageBreakPreview" zoomScaleNormal="100" zoomScaleSheetLayoutView="100" workbookViewId="0">
      <selection activeCell="Y15" sqref="Y15"/>
    </sheetView>
  </sheetViews>
  <sheetFormatPr defaultRowHeight="14.25"/>
  <cols>
    <col min="1" max="5" width="4.25" style="3" customWidth="1"/>
    <col min="6" max="6" width="8.625" style="3" customWidth="1"/>
    <col min="7" max="18" width="5" style="3" customWidth="1"/>
    <col min="19" max="23" width="4.625" style="3" customWidth="1"/>
    <col min="24" max="24" width="5.625" style="3" customWidth="1"/>
    <col min="25" max="25" width="3.875" style="3" customWidth="1"/>
    <col min="26" max="28" width="9" style="3"/>
    <col min="29" max="29" width="9.5" style="3" bestFit="1" customWidth="1"/>
    <col min="30" max="30" width="9.125" style="3" bestFit="1" customWidth="1"/>
    <col min="31" max="32" width="13" style="3" bestFit="1" customWidth="1"/>
    <col min="33" max="16384" width="9" style="3"/>
  </cols>
  <sheetData>
    <row r="1" spans="1:25" s="1" customFormat="1" ht="6" customHeight="1">
      <c r="A1" s="139"/>
      <c r="B1" s="140"/>
      <c r="C1" s="140"/>
      <c r="D1" s="140"/>
      <c r="E1" s="140"/>
      <c r="F1" s="140"/>
      <c r="G1" s="141"/>
      <c r="H1" s="147"/>
      <c r="I1" s="147"/>
      <c r="J1" s="22"/>
      <c r="K1" s="22"/>
      <c r="L1" s="22"/>
      <c r="M1" s="22"/>
      <c r="N1" s="22"/>
      <c r="O1" s="22"/>
      <c r="P1" s="22"/>
      <c r="Q1" s="22"/>
      <c r="R1" s="22"/>
      <c r="S1" s="23"/>
      <c r="T1" s="24"/>
      <c r="U1" s="24"/>
      <c r="V1" s="25"/>
      <c r="W1" s="25"/>
      <c r="X1" s="54"/>
      <c r="Y1" s="51"/>
    </row>
    <row r="2" spans="1:25" s="1" customFormat="1" ht="18" customHeight="1">
      <c r="A2" s="142"/>
      <c r="B2" s="143"/>
      <c r="C2" s="143"/>
      <c r="D2" s="143"/>
      <c r="E2" s="143"/>
      <c r="F2" s="143"/>
      <c r="G2" s="144"/>
      <c r="H2" s="148" t="s">
        <v>4</v>
      </c>
      <c r="I2" s="149"/>
      <c r="J2" s="149"/>
      <c r="K2" s="149"/>
      <c r="L2" s="149"/>
      <c r="M2" s="149"/>
      <c r="N2" s="149"/>
      <c r="O2" s="149"/>
      <c r="P2" s="149"/>
      <c r="Q2" s="149"/>
      <c r="R2" s="149"/>
      <c r="S2" s="149"/>
      <c r="T2" s="149"/>
      <c r="U2" s="149"/>
      <c r="V2" s="149"/>
      <c r="W2" s="149"/>
      <c r="X2" s="150"/>
      <c r="Y2" s="51"/>
    </row>
    <row r="3" spans="1:25" s="1" customFormat="1" ht="15" customHeight="1">
      <c r="A3" s="142"/>
      <c r="B3" s="143"/>
      <c r="C3" s="143"/>
      <c r="D3" s="143"/>
      <c r="E3" s="143"/>
      <c r="F3" s="143"/>
      <c r="G3" s="144"/>
      <c r="H3" s="148"/>
      <c r="I3" s="149"/>
      <c r="J3" s="149"/>
      <c r="K3" s="149"/>
      <c r="L3" s="149"/>
      <c r="M3" s="149"/>
      <c r="N3" s="149"/>
      <c r="O3" s="149"/>
      <c r="P3" s="149"/>
      <c r="Q3" s="149"/>
      <c r="R3" s="149"/>
      <c r="S3" s="149"/>
      <c r="T3" s="149"/>
      <c r="U3" s="149"/>
      <c r="V3" s="149"/>
      <c r="W3" s="149"/>
      <c r="X3" s="150"/>
      <c r="Y3" s="51"/>
    </row>
    <row r="4" spans="1:25" s="1" customFormat="1" ht="4.5" customHeight="1">
      <c r="A4" s="145"/>
      <c r="B4" s="146"/>
      <c r="C4" s="146"/>
      <c r="D4" s="146"/>
      <c r="E4" s="146"/>
      <c r="F4" s="146"/>
      <c r="G4" s="133"/>
      <c r="H4" s="26"/>
      <c r="I4" s="26"/>
      <c r="J4" s="26"/>
      <c r="K4" s="26"/>
      <c r="L4" s="26"/>
      <c r="M4" s="26"/>
      <c r="N4" s="26"/>
      <c r="O4" s="26"/>
      <c r="P4" s="26"/>
      <c r="Q4" s="26"/>
      <c r="R4" s="26"/>
      <c r="S4" s="26"/>
      <c r="T4" s="26"/>
      <c r="U4" s="26"/>
      <c r="V4" s="26"/>
      <c r="W4" s="26"/>
      <c r="X4" s="55"/>
      <c r="Y4" s="51"/>
    </row>
    <row r="5" spans="1:25" s="1" customFormat="1" ht="13.5" customHeight="1">
      <c r="A5" s="151" t="s">
        <v>38</v>
      </c>
      <c r="B5" s="152"/>
      <c r="C5" s="152"/>
      <c r="D5" s="152"/>
      <c r="E5" s="152"/>
      <c r="F5" s="152"/>
      <c r="G5" s="153"/>
      <c r="H5" s="160" t="s">
        <v>39</v>
      </c>
      <c r="I5" s="161"/>
      <c r="J5" s="161"/>
      <c r="K5" s="166" t="s">
        <v>40</v>
      </c>
      <c r="L5" s="166"/>
      <c r="M5" s="166"/>
      <c r="N5" s="166"/>
      <c r="O5" s="166"/>
      <c r="P5" s="166"/>
      <c r="Q5" s="166"/>
      <c r="R5" s="167"/>
      <c r="S5" s="172" t="s">
        <v>41</v>
      </c>
      <c r="T5" s="166"/>
      <c r="U5" s="166"/>
      <c r="V5" s="166"/>
      <c r="W5" s="166"/>
      <c r="X5" s="173"/>
      <c r="Y5" s="51"/>
    </row>
    <row r="6" spans="1:25" s="1" customFormat="1" ht="13.5" customHeight="1">
      <c r="A6" s="154"/>
      <c r="B6" s="155"/>
      <c r="C6" s="155"/>
      <c r="D6" s="155"/>
      <c r="E6" s="155"/>
      <c r="F6" s="155"/>
      <c r="G6" s="156"/>
      <c r="H6" s="162"/>
      <c r="I6" s="163"/>
      <c r="J6" s="163"/>
      <c r="K6" s="168"/>
      <c r="L6" s="168"/>
      <c r="M6" s="168"/>
      <c r="N6" s="168"/>
      <c r="O6" s="168"/>
      <c r="P6" s="168"/>
      <c r="Q6" s="168"/>
      <c r="R6" s="169"/>
      <c r="S6" s="174"/>
      <c r="T6" s="168"/>
      <c r="U6" s="168"/>
      <c r="V6" s="168"/>
      <c r="W6" s="168"/>
      <c r="X6" s="175"/>
      <c r="Y6" s="51"/>
    </row>
    <row r="7" spans="1:25" s="1" customFormat="1" ht="13.5" customHeight="1" thickBot="1">
      <c r="A7" s="157"/>
      <c r="B7" s="158"/>
      <c r="C7" s="158"/>
      <c r="D7" s="158"/>
      <c r="E7" s="158"/>
      <c r="F7" s="158"/>
      <c r="G7" s="159"/>
      <c r="H7" s="164"/>
      <c r="I7" s="165"/>
      <c r="J7" s="165"/>
      <c r="K7" s="170"/>
      <c r="L7" s="170"/>
      <c r="M7" s="170"/>
      <c r="N7" s="170"/>
      <c r="O7" s="170"/>
      <c r="P7" s="170"/>
      <c r="Q7" s="170"/>
      <c r="R7" s="171"/>
      <c r="S7" s="176"/>
      <c r="T7" s="170"/>
      <c r="U7" s="170"/>
      <c r="V7" s="170"/>
      <c r="W7" s="170"/>
      <c r="X7" s="177"/>
      <c r="Y7" s="51"/>
    </row>
    <row r="8" spans="1:25" s="1" customFormat="1" ht="4.5" customHeight="1">
      <c r="A8" s="56"/>
      <c r="B8" s="27"/>
      <c r="C8" s="27"/>
      <c r="D8" s="27"/>
      <c r="E8" s="27"/>
      <c r="F8" s="27"/>
      <c r="G8" s="27"/>
      <c r="H8" s="27"/>
      <c r="I8" s="27"/>
      <c r="J8" s="27"/>
      <c r="K8" s="27"/>
      <c r="L8" s="27"/>
      <c r="M8" s="27"/>
      <c r="N8" s="27"/>
      <c r="O8" s="27"/>
      <c r="P8" s="27"/>
      <c r="Q8" s="27"/>
      <c r="R8" s="27"/>
      <c r="S8" s="27"/>
      <c r="T8" s="27"/>
      <c r="U8" s="27"/>
      <c r="V8" s="27"/>
      <c r="W8" s="27"/>
      <c r="X8" s="57"/>
      <c r="Y8" s="51"/>
    </row>
    <row r="9" spans="1:25">
      <c r="A9" s="58"/>
      <c r="B9" s="28" t="s">
        <v>42</v>
      </c>
      <c r="C9" s="28"/>
      <c r="D9" s="28"/>
      <c r="E9" s="28"/>
      <c r="F9" s="28"/>
      <c r="G9" s="28"/>
      <c r="H9" s="28"/>
      <c r="I9" s="28"/>
      <c r="J9" s="28"/>
      <c r="K9" s="28"/>
      <c r="L9" s="28"/>
      <c r="M9" s="28"/>
      <c r="N9" s="28"/>
      <c r="O9" s="28"/>
      <c r="P9" s="28"/>
      <c r="Q9" s="28"/>
      <c r="R9" s="28"/>
      <c r="S9" s="28"/>
      <c r="T9" s="28"/>
      <c r="U9" s="29"/>
      <c r="V9" s="29"/>
      <c r="W9" s="29"/>
      <c r="X9" s="59"/>
      <c r="Y9" s="51"/>
    </row>
    <row r="10" spans="1:25">
      <c r="A10" s="58"/>
      <c r="B10" s="28" t="s">
        <v>10</v>
      </c>
      <c r="C10" s="28"/>
      <c r="D10" s="28"/>
      <c r="E10" s="28"/>
      <c r="F10" s="28"/>
      <c r="G10" s="28"/>
      <c r="H10" s="28"/>
      <c r="I10" s="28"/>
      <c r="J10" s="28"/>
      <c r="K10" s="28"/>
      <c r="L10" s="28"/>
      <c r="M10" s="28"/>
      <c r="N10" s="28"/>
      <c r="O10" s="28"/>
      <c r="P10" s="28"/>
      <c r="Q10" s="28"/>
      <c r="R10" s="28"/>
      <c r="S10" s="28"/>
      <c r="T10" s="28"/>
      <c r="U10" s="29"/>
      <c r="V10" s="29"/>
      <c r="W10" s="29"/>
      <c r="X10" s="59"/>
      <c r="Y10" s="51"/>
    </row>
    <row r="11" spans="1:25">
      <c r="A11" s="60"/>
      <c r="B11" s="61" t="s">
        <v>43</v>
      </c>
      <c r="C11" s="61"/>
      <c r="D11" s="61"/>
      <c r="E11" s="61"/>
      <c r="F11" s="61"/>
      <c r="G11" s="61"/>
      <c r="H11" s="61"/>
      <c r="I11" s="61"/>
      <c r="J11" s="61"/>
      <c r="K11" s="61"/>
      <c r="L11" s="61"/>
      <c r="M11" s="61"/>
      <c r="N11" s="61"/>
      <c r="O11" s="61"/>
      <c r="P11" s="61"/>
      <c r="Q11" s="61"/>
      <c r="R11" s="61"/>
      <c r="S11" s="61"/>
      <c r="T11" s="61"/>
      <c r="U11" s="31"/>
      <c r="V11" s="31"/>
      <c r="W11" s="31"/>
      <c r="X11" s="62"/>
    </row>
    <row r="12" spans="1:25" ht="15" thickBot="1">
      <c r="A12" s="60"/>
      <c r="B12" s="61"/>
      <c r="C12" s="61"/>
      <c r="D12" s="61"/>
      <c r="E12" s="61"/>
      <c r="F12" s="61"/>
      <c r="G12" s="61"/>
      <c r="H12" s="61"/>
      <c r="I12" s="61"/>
      <c r="J12" s="61"/>
      <c r="K12" s="61"/>
      <c r="L12" s="61"/>
      <c r="M12" s="61"/>
      <c r="N12" s="61"/>
      <c r="O12" s="61"/>
      <c r="P12" s="61"/>
      <c r="Q12" s="61"/>
      <c r="R12" s="61"/>
      <c r="S12" s="61"/>
      <c r="T12" s="61"/>
      <c r="U12" s="31"/>
      <c r="V12" s="31"/>
      <c r="W12" s="31"/>
      <c r="X12" s="62"/>
    </row>
    <row r="13" spans="1:25" ht="24.75" customHeight="1">
      <c r="A13" s="197" t="s">
        <v>44</v>
      </c>
      <c r="B13" s="198"/>
      <c r="C13" s="198"/>
      <c r="D13" s="198"/>
      <c r="E13" s="198"/>
      <c r="F13" s="199" t="s">
        <v>45</v>
      </c>
      <c r="G13" s="199"/>
      <c r="H13" s="199"/>
      <c r="I13" s="199"/>
      <c r="J13" s="199"/>
      <c r="K13" s="199"/>
      <c r="L13" s="198" t="s">
        <v>46</v>
      </c>
      <c r="M13" s="198"/>
      <c r="N13" s="198"/>
      <c r="O13" s="198"/>
      <c r="P13" s="200">
        <v>42696</v>
      </c>
      <c r="Q13" s="200"/>
      <c r="R13" s="200"/>
      <c r="S13" s="200"/>
      <c r="T13" s="200"/>
      <c r="U13" s="200"/>
      <c r="V13" s="200"/>
      <c r="W13" s="200"/>
      <c r="X13" s="201"/>
    </row>
    <row r="14" spans="1:25" ht="24.75" customHeight="1">
      <c r="A14" s="202" t="s">
        <v>47</v>
      </c>
      <c r="B14" s="203"/>
      <c r="C14" s="203"/>
      <c r="D14" s="203"/>
      <c r="E14" s="203"/>
      <c r="F14" s="204" t="s">
        <v>215</v>
      </c>
      <c r="G14" s="205"/>
      <c r="H14" s="205"/>
      <c r="I14" s="205"/>
      <c r="J14" s="205"/>
      <c r="K14" s="206"/>
      <c r="L14" s="203" t="s">
        <v>48</v>
      </c>
      <c r="M14" s="203"/>
      <c r="N14" s="203"/>
      <c r="O14" s="203"/>
      <c r="P14" s="204" t="s">
        <v>163</v>
      </c>
      <c r="Q14" s="205"/>
      <c r="R14" s="205"/>
      <c r="S14" s="205"/>
      <c r="T14" s="205"/>
      <c r="U14" s="205"/>
      <c r="V14" s="205"/>
      <c r="W14" s="205"/>
      <c r="X14" s="207"/>
    </row>
    <row r="15" spans="1:25" ht="24.75" customHeight="1" thickBot="1">
      <c r="A15" s="184" t="s">
        <v>49</v>
      </c>
      <c r="B15" s="185"/>
      <c r="C15" s="185"/>
      <c r="D15" s="185"/>
      <c r="E15" s="185"/>
      <c r="F15" s="186" t="s">
        <v>188</v>
      </c>
      <c r="G15" s="187"/>
      <c r="H15" s="187"/>
      <c r="I15" s="187"/>
      <c r="J15" s="187"/>
      <c r="K15" s="187"/>
      <c r="L15" s="188"/>
      <c r="M15" s="189"/>
      <c r="N15" s="189"/>
      <c r="O15" s="190"/>
      <c r="P15" s="188"/>
      <c r="Q15" s="189"/>
      <c r="R15" s="189"/>
      <c r="S15" s="189"/>
      <c r="T15" s="189"/>
      <c r="U15" s="189"/>
      <c r="V15" s="189"/>
      <c r="W15" s="189"/>
      <c r="X15" s="191"/>
    </row>
    <row r="16" spans="1:25" ht="3" customHeight="1" thickBot="1">
      <c r="A16" s="63"/>
      <c r="B16" s="32"/>
      <c r="C16" s="32"/>
      <c r="D16" s="32"/>
      <c r="E16" s="32"/>
      <c r="F16" s="32"/>
      <c r="G16" s="32"/>
      <c r="H16" s="32"/>
      <c r="I16" s="32"/>
      <c r="J16" s="32"/>
      <c r="K16" s="32"/>
      <c r="L16" s="32"/>
      <c r="M16" s="32"/>
      <c r="N16" s="32"/>
      <c r="O16" s="32"/>
      <c r="P16" s="32"/>
      <c r="Q16" s="32"/>
      <c r="R16" s="32"/>
      <c r="S16" s="32"/>
      <c r="T16" s="32"/>
      <c r="U16" s="32"/>
      <c r="V16" s="32"/>
      <c r="W16" s="32"/>
      <c r="X16" s="64"/>
    </row>
    <row r="17" spans="1:35" ht="30" customHeight="1" thickBot="1">
      <c r="A17" s="192" t="s">
        <v>50</v>
      </c>
      <c r="B17" s="193"/>
      <c r="C17" s="193"/>
      <c r="D17" s="194"/>
      <c r="E17" s="178"/>
      <c r="F17" s="179"/>
      <c r="G17" s="179"/>
      <c r="H17" s="179"/>
      <c r="I17" s="179"/>
      <c r="J17" s="179"/>
      <c r="K17" s="179"/>
      <c r="L17" s="179"/>
      <c r="M17" s="180"/>
      <c r="N17" s="195" t="s">
        <v>51</v>
      </c>
      <c r="O17" s="95"/>
      <c r="P17" s="95"/>
      <c r="Q17" s="196"/>
      <c r="R17" s="181"/>
      <c r="S17" s="182"/>
      <c r="T17" s="182"/>
      <c r="U17" s="182"/>
      <c r="V17" s="182"/>
      <c r="W17" s="182"/>
      <c r="X17" s="183"/>
      <c r="Z17" s="13"/>
      <c r="AA17" s="13"/>
    </row>
    <row r="18" spans="1:35" ht="30" customHeight="1">
      <c r="A18" s="208" t="s">
        <v>52</v>
      </c>
      <c r="B18" s="209"/>
      <c r="C18" s="209"/>
      <c r="D18" s="210"/>
      <c r="E18" s="103" t="s">
        <v>93</v>
      </c>
      <c r="F18" s="101"/>
      <c r="G18" s="101"/>
      <c r="H18" s="101"/>
      <c r="I18" s="104"/>
      <c r="J18" s="104"/>
      <c r="K18" s="104"/>
      <c r="L18" s="104"/>
      <c r="M18" s="104"/>
      <c r="N18" s="104"/>
      <c r="O18" s="101"/>
      <c r="P18" s="101"/>
      <c r="Q18" s="101"/>
      <c r="R18" s="102"/>
      <c r="S18" s="214" t="s">
        <v>53</v>
      </c>
      <c r="T18" s="215"/>
      <c r="U18" s="216"/>
      <c r="V18" s="94"/>
      <c r="W18" s="95"/>
      <c r="X18" s="96"/>
      <c r="Z18" s="7"/>
      <c r="AA18" s="7"/>
    </row>
    <row r="19" spans="1:35" ht="30" customHeight="1" thickBot="1">
      <c r="A19" s="211"/>
      <c r="B19" s="212"/>
      <c r="C19" s="185"/>
      <c r="D19" s="213"/>
      <c r="E19" s="186"/>
      <c r="F19" s="226"/>
      <c r="G19" s="227"/>
      <c r="H19" s="228"/>
      <c r="I19" s="228"/>
      <c r="J19" s="228"/>
      <c r="K19" s="228"/>
      <c r="L19" s="228"/>
      <c r="M19" s="228"/>
      <c r="N19" s="228"/>
      <c r="O19" s="228"/>
      <c r="P19" s="228"/>
      <c r="Q19" s="228"/>
      <c r="R19" s="229"/>
      <c r="S19" s="217"/>
      <c r="T19" s="218"/>
      <c r="U19" s="219"/>
      <c r="V19" s="97"/>
      <c r="W19" s="98"/>
      <c r="X19" s="99"/>
      <c r="Z19" s="14"/>
      <c r="AA19" s="14"/>
    </row>
    <row r="20" spans="1:35" ht="30" customHeight="1">
      <c r="A20" s="118" t="s">
        <v>95</v>
      </c>
      <c r="B20" s="119"/>
      <c r="C20" s="33"/>
      <c r="D20" s="34"/>
      <c r="E20" s="34"/>
      <c r="F20" s="34"/>
      <c r="G20" s="34"/>
      <c r="H20" s="34"/>
      <c r="I20" s="34"/>
      <c r="J20" s="34"/>
      <c r="K20" s="34"/>
      <c r="L20" s="34"/>
      <c r="M20" s="34"/>
      <c r="N20" s="34"/>
      <c r="O20" s="34"/>
      <c r="P20" s="34"/>
      <c r="Q20" s="34"/>
      <c r="R20" s="34"/>
      <c r="S20" s="34"/>
      <c r="T20" s="34"/>
      <c r="U20" s="34"/>
      <c r="V20" s="34"/>
      <c r="W20" s="34"/>
      <c r="X20" s="35"/>
      <c r="Z20" s="13" t="s">
        <v>34</v>
      </c>
      <c r="AA20" s="13"/>
      <c r="AC20" s="3" t="s">
        <v>100</v>
      </c>
    </row>
    <row r="21" spans="1:35">
      <c r="A21" s="120"/>
      <c r="B21" s="121"/>
      <c r="C21" s="36"/>
      <c r="D21" s="37"/>
      <c r="E21" s="38"/>
      <c r="F21" s="38"/>
      <c r="G21" s="37"/>
      <c r="H21" s="37"/>
      <c r="I21" s="37"/>
      <c r="J21" s="37"/>
      <c r="K21" s="37"/>
      <c r="L21" s="37"/>
      <c r="M21" s="37"/>
      <c r="N21" s="37"/>
      <c r="O21" s="39"/>
      <c r="P21" s="39"/>
      <c r="Q21" s="37"/>
      <c r="R21" s="37"/>
      <c r="S21" s="37"/>
      <c r="T21" s="37"/>
      <c r="U21" s="37"/>
      <c r="V21" s="37"/>
      <c r="W21" s="37"/>
      <c r="X21" s="40"/>
      <c r="Z21" s="7"/>
      <c r="AA21" s="7"/>
    </row>
    <row r="22" spans="1:35" ht="24">
      <c r="A22" s="120"/>
      <c r="B22" s="121"/>
      <c r="C22" s="36"/>
      <c r="D22" s="37"/>
      <c r="E22" s="38"/>
      <c r="F22" s="38"/>
      <c r="G22" s="41"/>
      <c r="H22" s="38"/>
      <c r="I22" s="38"/>
      <c r="J22" s="30"/>
      <c r="K22" s="42"/>
      <c r="L22" s="42"/>
      <c r="M22" s="42"/>
      <c r="N22" s="42"/>
      <c r="O22" s="43"/>
      <c r="P22" s="42"/>
      <c r="Q22" s="42"/>
      <c r="R22" s="42"/>
      <c r="S22" s="38"/>
      <c r="T22" s="38"/>
      <c r="U22" s="38"/>
      <c r="V22" s="38"/>
      <c r="W22" s="38"/>
      <c r="X22" s="44"/>
      <c r="Z22" s="114" t="s">
        <v>35</v>
      </c>
      <c r="AA22" s="114"/>
      <c r="AG22" s="13"/>
      <c r="AH22" s="13"/>
    </row>
    <row r="23" spans="1:35" ht="24.75" thickBot="1">
      <c r="A23" s="120"/>
      <c r="B23" s="121"/>
      <c r="C23" s="36"/>
      <c r="D23" s="37"/>
      <c r="E23" s="38"/>
      <c r="F23" s="38"/>
      <c r="G23" s="41"/>
      <c r="H23" s="38"/>
      <c r="I23" s="38"/>
      <c r="J23" s="38"/>
      <c r="K23" s="38"/>
      <c r="L23" s="38"/>
      <c r="M23" s="38"/>
      <c r="N23" s="38"/>
      <c r="O23" s="38"/>
      <c r="P23" s="38"/>
      <c r="Q23" s="38"/>
      <c r="R23" s="38"/>
      <c r="S23" s="38"/>
      <c r="T23" s="38"/>
      <c r="U23" s="38"/>
      <c r="V23" s="38"/>
      <c r="W23" s="38"/>
      <c r="X23" s="44"/>
      <c r="Z23" s="19" t="s">
        <v>36</v>
      </c>
      <c r="AA23" s="20" t="s">
        <v>37</v>
      </c>
      <c r="AG23" s="7"/>
      <c r="AH23" s="7"/>
    </row>
    <row r="24" spans="1:35" ht="24.75" thickTop="1">
      <c r="A24" s="120"/>
      <c r="B24" s="121"/>
      <c r="C24" s="36"/>
      <c r="D24" s="37"/>
      <c r="E24" s="38"/>
      <c r="F24" s="38"/>
      <c r="G24" s="41"/>
      <c r="H24" s="38"/>
      <c r="I24" s="38"/>
      <c r="J24" s="38"/>
      <c r="K24" s="38"/>
      <c r="L24" s="38"/>
      <c r="M24" s="38"/>
      <c r="N24" s="38"/>
      <c r="O24" s="38"/>
      <c r="P24" s="38"/>
      <c r="Q24" s="38"/>
      <c r="R24" s="38"/>
      <c r="S24" s="38"/>
      <c r="T24" s="38"/>
      <c r="U24" s="38"/>
      <c r="V24" s="38"/>
      <c r="W24" s="38"/>
      <c r="X24" s="44"/>
      <c r="Z24" s="17">
        <v>16</v>
      </c>
      <c r="AA24" s="18">
        <v>1.0021</v>
      </c>
      <c r="AG24" s="14"/>
      <c r="AH24" s="14"/>
    </row>
    <row r="25" spans="1:35" ht="13.5" customHeight="1">
      <c r="A25" s="120"/>
      <c r="B25" s="121"/>
      <c r="C25" s="36"/>
      <c r="D25" s="37"/>
      <c r="E25" s="38"/>
      <c r="F25" s="38"/>
      <c r="G25" s="38"/>
      <c r="H25" s="38"/>
      <c r="I25" s="38"/>
      <c r="J25" s="38"/>
      <c r="K25" s="38"/>
      <c r="L25" s="38"/>
      <c r="M25" s="38"/>
      <c r="N25" s="38"/>
      <c r="O25" s="38"/>
      <c r="P25" s="38"/>
      <c r="Q25" s="38"/>
      <c r="R25" s="38"/>
      <c r="S25" s="38"/>
      <c r="T25" s="38"/>
      <c r="U25" s="38"/>
      <c r="V25" s="38"/>
      <c r="W25" s="38"/>
      <c r="X25" s="44"/>
      <c r="Y25" s="52"/>
      <c r="Z25" s="16">
        <v>16.5</v>
      </c>
      <c r="AA25" s="15">
        <v>1.0022</v>
      </c>
      <c r="AG25" s="8"/>
      <c r="AH25" s="9"/>
    </row>
    <row r="26" spans="1:35" ht="13.5" customHeight="1">
      <c r="A26" s="120"/>
      <c r="B26" s="121"/>
      <c r="C26" s="36"/>
      <c r="D26" s="37"/>
      <c r="E26" s="38"/>
      <c r="F26" s="38"/>
      <c r="G26" s="38"/>
      <c r="H26" s="38"/>
      <c r="I26" s="38"/>
      <c r="J26" s="38"/>
      <c r="K26" s="38"/>
      <c r="L26" s="38"/>
      <c r="M26" s="38"/>
      <c r="N26" s="38"/>
      <c r="O26" s="38"/>
      <c r="P26" s="38"/>
      <c r="Q26" s="38"/>
      <c r="R26" s="38"/>
      <c r="S26" s="38"/>
      <c r="T26" s="38"/>
      <c r="U26" s="38"/>
      <c r="V26" s="38"/>
      <c r="W26" s="38"/>
      <c r="X26" s="44"/>
      <c r="Y26" s="7"/>
      <c r="Z26" s="16">
        <v>17</v>
      </c>
      <c r="AA26" s="15">
        <v>1.0023</v>
      </c>
      <c r="AG26" s="10"/>
      <c r="AH26" s="11"/>
    </row>
    <row r="27" spans="1:35" ht="13.5" customHeight="1">
      <c r="A27" s="120"/>
      <c r="B27" s="121"/>
      <c r="C27" s="36"/>
      <c r="D27" s="37"/>
      <c r="E27" s="38"/>
      <c r="F27" s="38"/>
      <c r="G27" s="45"/>
      <c r="H27" s="38"/>
      <c r="I27" s="38"/>
      <c r="J27" s="38"/>
      <c r="K27" s="38"/>
      <c r="L27" s="38"/>
      <c r="M27" s="45"/>
      <c r="N27" s="38"/>
      <c r="O27" s="38"/>
      <c r="P27" s="38"/>
      <c r="Q27" s="38"/>
      <c r="R27" s="38"/>
      <c r="S27" s="38"/>
      <c r="T27" s="38"/>
      <c r="U27" s="38"/>
      <c r="V27" s="38"/>
      <c r="W27" s="38"/>
      <c r="X27" s="44"/>
      <c r="Y27" s="53"/>
      <c r="Z27" s="16">
        <v>17.5</v>
      </c>
      <c r="AA27" s="15">
        <v>1.0024</v>
      </c>
      <c r="AG27" s="10"/>
      <c r="AH27" s="11"/>
    </row>
    <row r="28" spans="1:35" ht="13.5" customHeight="1">
      <c r="A28" s="120"/>
      <c r="B28" s="121"/>
      <c r="C28" s="36"/>
      <c r="D28" s="37"/>
      <c r="E28" s="38"/>
      <c r="F28" s="38"/>
      <c r="G28" s="45"/>
      <c r="H28" s="38"/>
      <c r="I28" s="38"/>
      <c r="J28" s="38"/>
      <c r="K28" s="38"/>
      <c r="L28" s="38"/>
      <c r="M28" s="38"/>
      <c r="N28" s="38"/>
      <c r="O28" s="38"/>
      <c r="P28" s="38"/>
      <c r="Q28" s="38"/>
      <c r="R28" s="38"/>
      <c r="S28" s="38"/>
      <c r="T28" s="38"/>
      <c r="U28" s="38"/>
      <c r="V28" s="38"/>
      <c r="W28" s="38"/>
      <c r="X28" s="44"/>
      <c r="Y28" s="8"/>
      <c r="Z28" s="16">
        <v>18</v>
      </c>
      <c r="AA28" s="15">
        <v>1.0024999999999999</v>
      </c>
      <c r="AF28" s="100" t="s">
        <v>78</v>
      </c>
      <c r="AG28" s="100"/>
      <c r="AH28" s="100"/>
      <c r="AI28" s="100"/>
    </row>
    <row r="29" spans="1:35" ht="13.5" customHeight="1">
      <c r="A29" s="120"/>
      <c r="B29" s="121"/>
      <c r="C29" s="36"/>
      <c r="D29" s="37"/>
      <c r="E29" s="38"/>
      <c r="F29" s="38"/>
      <c r="G29" s="45"/>
      <c r="H29" s="38"/>
      <c r="I29" s="38"/>
      <c r="J29" s="38"/>
      <c r="K29" s="38"/>
      <c r="L29" s="38"/>
      <c r="M29" s="38"/>
      <c r="N29" s="38"/>
      <c r="O29" s="38"/>
      <c r="P29" s="38"/>
      <c r="Q29" s="38"/>
      <c r="R29" s="38"/>
      <c r="S29" s="38"/>
      <c r="T29" s="38"/>
      <c r="U29" s="38"/>
      <c r="V29" s="38"/>
      <c r="W29" s="38"/>
      <c r="X29" s="44"/>
      <c r="Y29" s="10"/>
      <c r="Z29" s="16">
        <v>18.5</v>
      </c>
      <c r="AA29" s="15">
        <v>1.0025999999999999</v>
      </c>
      <c r="AF29" s="100" t="s">
        <v>79</v>
      </c>
      <c r="AG29" s="100"/>
      <c r="AH29" s="21" t="s">
        <v>88</v>
      </c>
      <c r="AI29" s="21" t="s">
        <v>89</v>
      </c>
    </row>
    <row r="30" spans="1:35" ht="13.5" customHeight="1">
      <c r="A30" s="120"/>
      <c r="B30" s="121"/>
      <c r="C30" s="36"/>
      <c r="D30" s="37"/>
      <c r="E30" s="38"/>
      <c r="F30" s="38"/>
      <c r="G30" s="38"/>
      <c r="H30" s="38"/>
      <c r="I30" s="38"/>
      <c r="J30" s="38"/>
      <c r="K30" s="38"/>
      <c r="L30" s="38"/>
      <c r="M30" s="38"/>
      <c r="N30" s="38"/>
      <c r="O30" s="38"/>
      <c r="P30" s="38"/>
      <c r="Q30" s="38"/>
      <c r="R30" s="38"/>
      <c r="S30" s="38"/>
      <c r="T30" s="38"/>
      <c r="U30" s="38"/>
      <c r="V30" s="38"/>
      <c r="W30" s="38"/>
      <c r="X30" s="44"/>
      <c r="Y30" s="10"/>
      <c r="Z30" s="16">
        <v>19</v>
      </c>
      <c r="AA30" s="15">
        <v>1.0026999999999999</v>
      </c>
      <c r="AF30" s="100" t="s">
        <v>83</v>
      </c>
      <c r="AG30" s="21" t="s">
        <v>76</v>
      </c>
      <c r="AH30" s="21" t="s">
        <v>84</v>
      </c>
      <c r="AI30" s="21" t="s">
        <v>90</v>
      </c>
    </row>
    <row r="31" spans="1:35" ht="13.5" customHeight="1">
      <c r="A31" s="120"/>
      <c r="B31" s="121"/>
      <c r="C31" s="36"/>
      <c r="D31" s="37"/>
      <c r="E31" s="38"/>
      <c r="F31" s="38"/>
      <c r="G31" s="38"/>
      <c r="H31" s="38"/>
      <c r="I31" s="38"/>
      <c r="J31" s="38"/>
      <c r="K31" s="38"/>
      <c r="L31" s="38"/>
      <c r="M31" s="38"/>
      <c r="N31" s="38"/>
      <c r="O31" s="38"/>
      <c r="P31" s="38"/>
      <c r="Q31" s="38"/>
      <c r="R31" s="38"/>
      <c r="S31" s="38"/>
      <c r="T31" s="38"/>
      <c r="U31" s="38"/>
      <c r="V31" s="38"/>
      <c r="W31" s="38"/>
      <c r="X31" s="44"/>
      <c r="Y31" s="10"/>
      <c r="Z31" s="16">
        <v>19.5</v>
      </c>
      <c r="AA31" s="15">
        <v>1.0027999999999999</v>
      </c>
      <c r="AC31" s="3" t="s">
        <v>102</v>
      </c>
      <c r="AF31" s="100"/>
      <c r="AG31" s="21" t="s">
        <v>81</v>
      </c>
      <c r="AH31" s="21" t="s">
        <v>85</v>
      </c>
      <c r="AI31" s="21" t="s">
        <v>85</v>
      </c>
    </row>
    <row r="32" spans="1:35" ht="13.5" customHeight="1">
      <c r="A32" s="120"/>
      <c r="B32" s="121"/>
      <c r="C32" s="36"/>
      <c r="D32" s="37"/>
      <c r="E32" s="38"/>
      <c r="F32" s="38"/>
      <c r="G32" s="38"/>
      <c r="H32" s="38"/>
      <c r="I32" s="38"/>
      <c r="J32" s="38"/>
      <c r="K32" s="38"/>
      <c r="L32" s="38"/>
      <c r="M32" s="38"/>
      <c r="N32" s="38"/>
      <c r="O32" s="38"/>
      <c r="P32" s="38"/>
      <c r="Q32" s="38"/>
      <c r="R32" s="38"/>
      <c r="S32" s="38"/>
      <c r="T32" s="38"/>
      <c r="U32" s="38"/>
      <c r="V32" s="38"/>
      <c r="W32" s="38"/>
      <c r="X32" s="44"/>
      <c r="Y32" s="10"/>
      <c r="Z32" s="16">
        <v>20</v>
      </c>
      <c r="AA32" s="15">
        <v>1.0028999999999999</v>
      </c>
      <c r="AC32" s="3" t="s">
        <v>101</v>
      </c>
      <c r="AD32" s="3" t="s">
        <v>97</v>
      </c>
      <c r="AF32" s="100"/>
      <c r="AG32" s="21" t="s">
        <v>77</v>
      </c>
      <c r="AH32" s="21" t="s">
        <v>86</v>
      </c>
      <c r="AI32" s="21" t="s">
        <v>86</v>
      </c>
    </row>
    <row r="33" spans="1:35" ht="13.5" customHeight="1">
      <c r="A33" s="120"/>
      <c r="B33" s="121"/>
      <c r="C33" s="36"/>
      <c r="D33" s="37"/>
      <c r="E33" s="38"/>
      <c r="F33" s="38"/>
      <c r="G33" s="38"/>
      <c r="H33" s="38"/>
      <c r="I33" s="38"/>
      <c r="J33" s="38"/>
      <c r="K33" s="38"/>
      <c r="L33" s="38"/>
      <c r="M33" s="38"/>
      <c r="N33" s="38"/>
      <c r="O33" s="38"/>
      <c r="P33" s="38"/>
      <c r="Q33" s="38"/>
      <c r="R33" s="38"/>
      <c r="S33" s="38"/>
      <c r="T33" s="38"/>
      <c r="U33" s="38"/>
      <c r="V33" s="38"/>
      <c r="W33" s="38"/>
      <c r="X33" s="44"/>
      <c r="Y33" s="10"/>
      <c r="Z33" s="16">
        <v>20.5</v>
      </c>
      <c r="AA33" s="15">
        <v>1.0029999999999999</v>
      </c>
      <c r="AC33" s="3" t="s">
        <v>98</v>
      </c>
      <c r="AD33" s="3" t="s">
        <v>99</v>
      </c>
      <c r="AF33" s="100" t="s">
        <v>79</v>
      </c>
      <c r="AG33" s="100"/>
      <c r="AH33" s="21" t="s">
        <v>82</v>
      </c>
      <c r="AI33" s="21" t="s">
        <v>92</v>
      </c>
    </row>
    <row r="34" spans="1:35" ht="13.5" customHeight="1">
      <c r="A34" s="120"/>
      <c r="B34" s="121"/>
      <c r="C34" s="36"/>
      <c r="D34" s="37"/>
      <c r="E34" s="38"/>
      <c r="F34" s="38"/>
      <c r="G34" s="38"/>
      <c r="H34" s="38"/>
      <c r="I34" s="38"/>
      <c r="J34" s="38"/>
      <c r="K34" s="38"/>
      <c r="L34" s="38"/>
      <c r="M34" s="38"/>
      <c r="N34" s="38"/>
      <c r="O34" s="38"/>
      <c r="P34" s="38"/>
      <c r="Q34" s="38"/>
      <c r="R34" s="38"/>
      <c r="S34" s="38"/>
      <c r="T34" s="38"/>
      <c r="U34" s="38"/>
      <c r="V34" s="38"/>
      <c r="W34" s="38"/>
      <c r="X34" s="44"/>
      <c r="Y34" s="10"/>
      <c r="Z34" s="16">
        <v>21</v>
      </c>
      <c r="AA34" s="15">
        <v>1.0031000000000001</v>
      </c>
      <c r="AF34" s="100" t="s">
        <v>80</v>
      </c>
      <c r="AG34" s="21" t="s">
        <v>76</v>
      </c>
      <c r="AH34" s="21" t="s">
        <v>87</v>
      </c>
      <c r="AI34" s="21" t="s">
        <v>91</v>
      </c>
    </row>
    <row r="35" spans="1:35">
      <c r="A35" s="120"/>
      <c r="B35" s="121"/>
      <c r="C35" s="36"/>
      <c r="D35" s="37"/>
      <c r="E35" s="38"/>
      <c r="F35" s="38"/>
      <c r="G35" s="38"/>
      <c r="H35" s="38"/>
      <c r="I35" s="38"/>
      <c r="J35" s="38"/>
      <c r="K35" s="38"/>
      <c r="L35" s="38"/>
      <c r="M35" s="38"/>
      <c r="N35" s="38"/>
      <c r="O35" s="38"/>
      <c r="P35" s="38"/>
      <c r="Q35" s="38"/>
      <c r="R35" s="38"/>
      <c r="S35" s="38"/>
      <c r="T35" s="38"/>
      <c r="U35" s="38"/>
      <c r="V35" s="38"/>
      <c r="W35" s="38"/>
      <c r="X35" s="44"/>
      <c r="Y35" s="10"/>
      <c r="Z35" s="16">
        <v>21.5</v>
      </c>
      <c r="AA35" s="15">
        <v>1.0032000000000001</v>
      </c>
      <c r="AF35" s="100"/>
      <c r="AG35" s="21" t="s">
        <v>77</v>
      </c>
      <c r="AH35" s="21" t="s">
        <v>86</v>
      </c>
      <c r="AI35" s="21" t="s">
        <v>86</v>
      </c>
    </row>
    <row r="36" spans="1:35">
      <c r="A36" s="120"/>
      <c r="B36" s="121"/>
      <c r="C36" s="36"/>
      <c r="D36" s="37"/>
      <c r="E36" s="38"/>
      <c r="F36" s="38"/>
      <c r="G36" s="38"/>
      <c r="H36" s="38"/>
      <c r="I36" s="38"/>
      <c r="J36" s="38"/>
      <c r="K36" s="38"/>
      <c r="L36" s="38"/>
      <c r="M36" s="38"/>
      <c r="N36" s="38"/>
      <c r="O36" s="38"/>
      <c r="P36" s="38"/>
      <c r="Q36" s="38"/>
      <c r="R36" s="38"/>
      <c r="S36" s="38"/>
      <c r="T36" s="38"/>
      <c r="U36" s="38"/>
      <c r="V36" s="38"/>
      <c r="W36" s="38"/>
      <c r="X36" s="44"/>
      <c r="Y36" s="10"/>
      <c r="Z36" s="16">
        <v>22</v>
      </c>
      <c r="AA36" s="15">
        <v>1.0033000000000001</v>
      </c>
      <c r="AG36" s="10"/>
      <c r="AH36" s="11"/>
    </row>
    <row r="37" spans="1:35">
      <c r="A37" s="126">
        <v>1</v>
      </c>
      <c r="B37" s="127"/>
      <c r="C37" s="36"/>
      <c r="D37" s="37"/>
      <c r="E37" s="38"/>
      <c r="F37" s="38"/>
      <c r="G37" s="38"/>
      <c r="H37" s="38"/>
      <c r="I37" s="38"/>
      <c r="J37" s="38"/>
      <c r="K37" s="38"/>
      <c r="L37" s="38"/>
      <c r="M37" s="38"/>
      <c r="N37" s="38"/>
      <c r="O37" s="38"/>
      <c r="P37" s="38"/>
      <c r="Q37" s="38"/>
      <c r="R37" s="38"/>
      <c r="S37" s="38"/>
      <c r="T37" s="38"/>
      <c r="U37" s="38"/>
      <c r="V37" s="38"/>
      <c r="W37" s="38"/>
      <c r="X37" s="44"/>
      <c r="Y37" s="10"/>
      <c r="Z37" s="16">
        <v>22.5</v>
      </c>
      <c r="AA37" s="15">
        <v>1.0034000000000001</v>
      </c>
      <c r="AG37" s="10"/>
      <c r="AH37" s="11"/>
    </row>
    <row r="38" spans="1:35">
      <c r="A38" s="126"/>
      <c r="B38" s="127"/>
      <c r="C38" s="36"/>
      <c r="D38" s="37"/>
      <c r="E38" s="38"/>
      <c r="F38" s="38"/>
      <c r="G38" s="38"/>
      <c r="H38" s="38"/>
      <c r="I38" s="38"/>
      <c r="J38" s="38"/>
      <c r="K38" s="38"/>
      <c r="L38" s="38"/>
      <c r="M38" s="38"/>
      <c r="N38" s="38"/>
      <c r="O38" s="38"/>
      <c r="P38" s="38"/>
      <c r="Q38" s="38"/>
      <c r="R38" s="38"/>
      <c r="S38" s="38"/>
      <c r="T38" s="38"/>
      <c r="U38" s="38"/>
      <c r="V38" s="38"/>
      <c r="W38" s="38"/>
      <c r="X38" s="44"/>
      <c r="Y38" s="10"/>
      <c r="Z38" s="16">
        <v>23</v>
      </c>
      <c r="AA38" s="15">
        <v>1.0035000000000001</v>
      </c>
      <c r="AG38" s="10"/>
      <c r="AH38" s="11"/>
    </row>
    <row r="39" spans="1:35">
      <c r="A39" s="126"/>
      <c r="B39" s="127"/>
      <c r="C39" s="37"/>
      <c r="D39" s="37"/>
      <c r="E39" s="37"/>
      <c r="F39" s="37"/>
      <c r="G39" s="37"/>
      <c r="H39" s="37"/>
      <c r="I39" s="37"/>
      <c r="J39" s="37"/>
      <c r="K39" s="37"/>
      <c r="L39" s="37"/>
      <c r="M39" s="37"/>
      <c r="N39" s="37"/>
      <c r="O39" s="37"/>
      <c r="P39" s="37"/>
      <c r="Q39" s="37"/>
      <c r="R39" s="37"/>
      <c r="S39" s="37"/>
      <c r="T39" s="37"/>
      <c r="U39" s="37"/>
      <c r="V39" s="37"/>
      <c r="W39" s="37"/>
      <c r="X39" s="44"/>
      <c r="Y39" s="10"/>
      <c r="Z39" s="16">
        <v>23.5</v>
      </c>
      <c r="AA39" s="15">
        <v>1.0036</v>
      </c>
      <c r="AG39" s="10"/>
      <c r="AH39" s="12"/>
    </row>
    <row r="40" spans="1:35" ht="15" thickBot="1">
      <c r="A40" s="122" t="s">
        <v>94</v>
      </c>
      <c r="B40" s="123"/>
      <c r="C40" s="37"/>
      <c r="D40" s="132" t="s">
        <v>54</v>
      </c>
      <c r="E40" s="132"/>
      <c r="F40" s="220"/>
      <c r="G40" s="234">
        <v>25</v>
      </c>
      <c r="H40" s="234"/>
      <c r="I40" s="234"/>
      <c r="J40" s="232" t="s">
        <v>63</v>
      </c>
      <c r="K40" s="232"/>
      <c r="L40" s="232"/>
      <c r="M40" s="232"/>
      <c r="N40" s="233"/>
      <c r="O40" s="132" t="s">
        <v>68</v>
      </c>
      <c r="P40" s="132"/>
      <c r="Q40" s="132"/>
      <c r="R40" s="287">
        <f>IFERROR(VLOOKUP(MROUND($G$40,0.5),$Z$24:$AA$52,2),"－")</f>
        <v>1.004</v>
      </c>
      <c r="S40" s="288"/>
      <c r="T40" s="289"/>
      <c r="U40" s="132" t="s">
        <v>66</v>
      </c>
      <c r="V40" s="132"/>
      <c r="W40" s="37"/>
      <c r="X40" s="44"/>
      <c r="Y40" s="10"/>
      <c r="Z40" s="16">
        <v>24</v>
      </c>
      <c r="AA40" s="15">
        <v>1.0038</v>
      </c>
      <c r="AG40" s="10"/>
      <c r="AH40" s="12"/>
    </row>
    <row r="41" spans="1:35" ht="15" thickBot="1">
      <c r="A41" s="122"/>
      <c r="B41" s="123"/>
      <c r="C41" s="37"/>
      <c r="D41" s="221" t="s">
        <v>55</v>
      </c>
      <c r="E41" s="221"/>
      <c r="F41" s="222"/>
      <c r="G41" s="235" t="str">
        <f>IF(ISNUMBER(J$42)=TRUE,IF(J$42&lt;10,"SAS-4039","SAS-4031"),"－－－－")</f>
        <v>SAS-4031</v>
      </c>
      <c r="H41" s="236"/>
      <c r="I41" s="236"/>
      <c r="J41" s="236"/>
      <c r="K41" s="236"/>
      <c r="L41" s="236"/>
      <c r="M41" s="236"/>
      <c r="N41" s="237"/>
      <c r="O41" s="231" t="s">
        <v>55</v>
      </c>
      <c r="P41" s="221"/>
      <c r="Q41" s="221"/>
      <c r="R41" s="236" t="str">
        <f>IF(ISNUMBER(R$42)=TRUE,IF(R$42&lt;10,"SAS-4039","SAS-4031"),"－－－－")</f>
        <v>SAS-4031</v>
      </c>
      <c r="S41" s="236"/>
      <c r="T41" s="236"/>
      <c r="U41" s="236"/>
      <c r="V41" s="236"/>
      <c r="W41" s="37"/>
      <c r="X41" s="44"/>
      <c r="Y41" s="10"/>
      <c r="Z41" s="16">
        <v>24.5</v>
      </c>
      <c r="AA41" s="15">
        <v>1.0039</v>
      </c>
      <c r="AG41" s="10"/>
      <c r="AH41" s="12"/>
    </row>
    <row r="42" spans="1:35" ht="13.5" customHeight="1">
      <c r="A42" s="122"/>
      <c r="B42" s="123"/>
      <c r="C42" s="37"/>
      <c r="D42" s="134" t="s">
        <v>56</v>
      </c>
      <c r="E42" s="134"/>
      <c r="F42" s="223"/>
      <c r="G42" s="238" t="s">
        <v>64</v>
      </c>
      <c r="H42" s="134"/>
      <c r="I42" s="134"/>
      <c r="J42" s="239">
        <v>200</v>
      </c>
      <c r="K42" s="239"/>
      <c r="L42" s="239"/>
      <c r="M42" s="134" t="s">
        <v>66</v>
      </c>
      <c r="N42" s="223"/>
      <c r="O42" s="133" t="s">
        <v>69</v>
      </c>
      <c r="P42" s="134"/>
      <c r="Q42" s="134"/>
      <c r="R42" s="135">
        <v>20</v>
      </c>
      <c r="S42" s="135"/>
      <c r="T42" s="135"/>
      <c r="U42" s="134" t="s">
        <v>66</v>
      </c>
      <c r="V42" s="134"/>
      <c r="W42" s="37"/>
      <c r="X42" s="44"/>
      <c r="Y42" s="10"/>
      <c r="Z42" s="16">
        <v>25</v>
      </c>
      <c r="AA42" s="15">
        <v>1.004</v>
      </c>
      <c r="AG42" s="10"/>
      <c r="AH42" s="12"/>
    </row>
    <row r="43" spans="1:35" ht="13.5" customHeight="1">
      <c r="A43" s="122"/>
      <c r="B43" s="123"/>
      <c r="C43" s="37"/>
      <c r="D43" s="224" t="s">
        <v>57</v>
      </c>
      <c r="E43" s="224"/>
      <c r="F43" s="225"/>
      <c r="G43" s="230" t="s">
        <v>65</v>
      </c>
      <c r="H43" s="116"/>
      <c r="I43" s="116"/>
      <c r="J43" s="116" t="s">
        <v>67</v>
      </c>
      <c r="K43" s="116"/>
      <c r="L43" s="116"/>
      <c r="M43" s="116"/>
      <c r="N43" s="117"/>
      <c r="O43" s="136" t="s">
        <v>65</v>
      </c>
      <c r="P43" s="116"/>
      <c r="Q43" s="116"/>
      <c r="R43" s="116" t="s">
        <v>67</v>
      </c>
      <c r="S43" s="116"/>
      <c r="T43" s="116"/>
      <c r="U43" s="116"/>
      <c r="V43" s="116"/>
      <c r="W43" s="37"/>
      <c r="X43" s="44"/>
      <c r="Y43" s="10"/>
      <c r="Z43" s="16">
        <v>25.5</v>
      </c>
      <c r="AA43" s="15">
        <v>1.0041</v>
      </c>
      <c r="AG43" s="10"/>
      <c r="AH43" s="12"/>
    </row>
    <row r="44" spans="1:35" ht="13.5" customHeight="1">
      <c r="A44" s="122"/>
      <c r="B44" s="123"/>
      <c r="C44" s="37"/>
      <c r="D44" s="224">
        <v>1</v>
      </c>
      <c r="E44" s="224"/>
      <c r="F44" s="225"/>
      <c r="G44" s="128"/>
      <c r="H44" s="129"/>
      <c r="I44" s="129"/>
      <c r="J44" s="115" t="str">
        <f>IFERROR(IF($G44&lt;&gt;"",$G44*$R$40,"－"),"－")</f>
        <v>－</v>
      </c>
      <c r="K44" s="115"/>
      <c r="L44" s="115"/>
      <c r="M44" s="116" t="s">
        <v>66</v>
      </c>
      <c r="N44" s="117"/>
      <c r="O44" s="128"/>
      <c r="P44" s="129"/>
      <c r="Q44" s="129"/>
      <c r="R44" s="115" t="str">
        <f>IFERROR(IF($O44&lt;&gt;"",$O44*$R$40,"－"),"－")</f>
        <v>－</v>
      </c>
      <c r="S44" s="115"/>
      <c r="T44" s="115"/>
      <c r="U44" s="116" t="s">
        <v>66</v>
      </c>
      <c r="V44" s="116"/>
      <c r="W44" s="37"/>
      <c r="X44" s="44"/>
      <c r="Y44" s="10"/>
      <c r="Z44" s="16">
        <v>26</v>
      </c>
      <c r="AA44" s="15">
        <v>1.0043</v>
      </c>
      <c r="AG44" s="10"/>
      <c r="AH44" s="12"/>
    </row>
    <row r="45" spans="1:35" ht="13.5" customHeight="1">
      <c r="A45" s="122"/>
      <c r="B45" s="123"/>
      <c r="C45" s="37"/>
      <c r="D45" s="224">
        <v>2</v>
      </c>
      <c r="E45" s="224"/>
      <c r="F45" s="225"/>
      <c r="G45" s="128"/>
      <c r="H45" s="129"/>
      <c r="I45" s="129"/>
      <c r="J45" s="115" t="str">
        <f t="shared" ref="J45:J48" si="0">IFERROR(IF($G45&lt;&gt;"",$G45*$R$40,"－"),"－")</f>
        <v>－</v>
      </c>
      <c r="K45" s="115"/>
      <c r="L45" s="115"/>
      <c r="M45" s="116" t="s">
        <v>66</v>
      </c>
      <c r="N45" s="117"/>
      <c r="O45" s="128"/>
      <c r="P45" s="129"/>
      <c r="Q45" s="129"/>
      <c r="R45" s="115" t="str">
        <f>IFERROR(IF($O45&lt;&gt;"",$O45*$R$40,"－"),"－")</f>
        <v>－</v>
      </c>
      <c r="S45" s="115"/>
      <c r="T45" s="115"/>
      <c r="U45" s="116" t="s">
        <v>66</v>
      </c>
      <c r="V45" s="116"/>
      <c r="W45" s="37"/>
      <c r="X45" s="44"/>
      <c r="Y45" s="10"/>
      <c r="Z45" s="16">
        <v>26.5</v>
      </c>
      <c r="AA45" s="15">
        <v>1.0044</v>
      </c>
      <c r="AG45" s="10"/>
      <c r="AH45" s="12"/>
    </row>
    <row r="46" spans="1:35" ht="13.5" customHeight="1">
      <c r="A46" s="122"/>
      <c r="B46" s="123"/>
      <c r="C46" s="37"/>
      <c r="D46" s="224">
        <v>3</v>
      </c>
      <c r="E46" s="224"/>
      <c r="F46" s="225"/>
      <c r="G46" s="128"/>
      <c r="H46" s="129"/>
      <c r="I46" s="129"/>
      <c r="J46" s="115" t="str">
        <f t="shared" si="0"/>
        <v>－</v>
      </c>
      <c r="K46" s="115"/>
      <c r="L46" s="115"/>
      <c r="M46" s="116" t="s">
        <v>66</v>
      </c>
      <c r="N46" s="117"/>
      <c r="O46" s="128"/>
      <c r="P46" s="129"/>
      <c r="Q46" s="129"/>
      <c r="R46" s="115" t="str">
        <f t="shared" ref="R46:R48" si="1">IFERROR(IF($O46&lt;&gt;"",$O46*$R$40,"－"),"－")</f>
        <v>－</v>
      </c>
      <c r="S46" s="115"/>
      <c r="T46" s="115"/>
      <c r="U46" s="116" t="s">
        <v>66</v>
      </c>
      <c r="V46" s="116"/>
      <c r="W46" s="37"/>
      <c r="X46" s="44"/>
      <c r="Y46" s="10"/>
      <c r="Z46" s="16">
        <v>27</v>
      </c>
      <c r="AA46" s="15">
        <v>1.0044999999999999</v>
      </c>
      <c r="AG46" s="10"/>
      <c r="AH46" s="12"/>
    </row>
    <row r="47" spans="1:35" ht="13.5" customHeight="1">
      <c r="A47" s="122"/>
      <c r="B47" s="123"/>
      <c r="C47" s="37"/>
      <c r="D47" s="224">
        <v>4</v>
      </c>
      <c r="E47" s="224"/>
      <c r="F47" s="225"/>
      <c r="G47" s="128"/>
      <c r="H47" s="129"/>
      <c r="I47" s="129"/>
      <c r="J47" s="115" t="str">
        <f t="shared" si="0"/>
        <v>－</v>
      </c>
      <c r="K47" s="115"/>
      <c r="L47" s="115"/>
      <c r="M47" s="116" t="s">
        <v>66</v>
      </c>
      <c r="N47" s="117"/>
      <c r="O47" s="128"/>
      <c r="P47" s="129"/>
      <c r="Q47" s="129"/>
      <c r="R47" s="115" t="str">
        <f t="shared" si="1"/>
        <v>－</v>
      </c>
      <c r="S47" s="115"/>
      <c r="T47" s="115"/>
      <c r="U47" s="116" t="s">
        <v>66</v>
      </c>
      <c r="V47" s="116"/>
      <c r="W47" s="37"/>
      <c r="X47" s="44"/>
      <c r="Y47" s="10"/>
      <c r="Z47" s="16">
        <v>27.5</v>
      </c>
      <c r="AA47" s="15">
        <v>1.0046999999999999</v>
      </c>
      <c r="AG47" s="12"/>
    </row>
    <row r="48" spans="1:35" ht="13.5" customHeight="1" thickBot="1">
      <c r="A48" s="122"/>
      <c r="B48" s="123"/>
      <c r="C48" s="66" t="s">
        <v>128</v>
      </c>
      <c r="D48" s="260">
        <v>5</v>
      </c>
      <c r="E48" s="260"/>
      <c r="F48" s="261"/>
      <c r="G48" s="137"/>
      <c r="H48" s="138"/>
      <c r="I48" s="138"/>
      <c r="J48" s="280" t="str">
        <f t="shared" si="0"/>
        <v>－</v>
      </c>
      <c r="K48" s="281"/>
      <c r="L48" s="282"/>
      <c r="M48" s="132" t="s">
        <v>66</v>
      </c>
      <c r="N48" s="283"/>
      <c r="O48" s="291"/>
      <c r="P48" s="138"/>
      <c r="Q48" s="138"/>
      <c r="R48" s="292" t="str">
        <f t="shared" si="1"/>
        <v>－</v>
      </c>
      <c r="S48" s="292"/>
      <c r="T48" s="292"/>
      <c r="U48" s="132" t="s">
        <v>66</v>
      </c>
      <c r="V48" s="132"/>
      <c r="W48" s="37"/>
      <c r="X48" s="44"/>
      <c r="Y48" s="10"/>
      <c r="Z48" s="16">
        <v>28</v>
      </c>
      <c r="AA48" s="15">
        <v>1.0047999999999999</v>
      </c>
      <c r="AF48" s="10"/>
      <c r="AG48" s="10"/>
      <c r="AH48" s="12"/>
    </row>
    <row r="49" spans="1:34" ht="13.5" customHeight="1">
      <c r="A49" s="122"/>
      <c r="B49" s="123"/>
      <c r="C49" s="66" t="s">
        <v>76</v>
      </c>
      <c r="D49" s="262" t="s">
        <v>58</v>
      </c>
      <c r="E49" s="262"/>
      <c r="F49" s="263"/>
      <c r="G49" s="284" t="s">
        <v>70</v>
      </c>
      <c r="H49" s="134"/>
      <c r="I49" s="134"/>
      <c r="J49" s="285" t="str">
        <f>IFERROR(AVERAGE(J$44:L$48),"－")</f>
        <v>－</v>
      </c>
      <c r="K49" s="285"/>
      <c r="L49" s="285"/>
      <c r="M49" s="286" t="s">
        <v>74</v>
      </c>
      <c r="N49" s="223"/>
      <c r="O49" s="293" t="s">
        <v>75</v>
      </c>
      <c r="P49" s="134"/>
      <c r="Q49" s="134"/>
      <c r="R49" s="285" t="str">
        <f>IFERROR(AVERAGE(R$44:T$48),"－")</f>
        <v>－</v>
      </c>
      <c r="S49" s="285"/>
      <c r="T49" s="285"/>
      <c r="U49" s="286" t="s">
        <v>96</v>
      </c>
      <c r="V49" s="134"/>
      <c r="W49" s="37"/>
      <c r="X49" s="44"/>
      <c r="Y49" s="10"/>
      <c r="Z49" s="16">
        <v>28.5</v>
      </c>
      <c r="AA49" s="15">
        <v>1.0049999999999999</v>
      </c>
      <c r="AG49" s="10"/>
      <c r="AH49" s="12"/>
    </row>
    <row r="50" spans="1:34" ht="13.5" customHeight="1">
      <c r="A50" s="122"/>
      <c r="B50" s="123"/>
      <c r="C50" s="66" t="s">
        <v>131</v>
      </c>
      <c r="D50" s="224" t="s">
        <v>59</v>
      </c>
      <c r="E50" s="224"/>
      <c r="F50" s="225"/>
      <c r="G50" s="130" t="s">
        <v>71</v>
      </c>
      <c r="H50" s="116"/>
      <c r="I50" s="116"/>
      <c r="J50" s="277" t="str">
        <f>IFERROR(ROUND((J$49-J$42)/J$42*100,1),"－")</f>
        <v>－</v>
      </c>
      <c r="K50" s="277"/>
      <c r="L50" s="277"/>
      <c r="M50" s="116" t="s">
        <v>76</v>
      </c>
      <c r="N50" s="117"/>
      <c r="O50" s="290" t="s">
        <v>72</v>
      </c>
      <c r="P50" s="116"/>
      <c r="Q50" s="116"/>
      <c r="R50" s="131" t="str">
        <f>IFERROR(ROUND((R$49-R$42)/R$42*100,1),"－")</f>
        <v>－</v>
      </c>
      <c r="S50" s="131"/>
      <c r="T50" s="131"/>
      <c r="U50" s="116" t="s">
        <v>77</v>
      </c>
      <c r="V50" s="117"/>
      <c r="W50" s="46" t="s">
        <v>104</v>
      </c>
      <c r="X50" s="44"/>
      <c r="Y50" s="10"/>
      <c r="Z50" s="16">
        <v>29</v>
      </c>
      <c r="AA50" s="15">
        <v>1.0051000000000001</v>
      </c>
      <c r="AG50" s="10"/>
      <c r="AH50" s="12"/>
    </row>
    <row r="51" spans="1:34" ht="13.5" customHeight="1">
      <c r="A51" s="122"/>
      <c r="B51" s="123"/>
      <c r="C51" s="66" t="s">
        <v>77</v>
      </c>
      <c r="D51" s="224" t="s">
        <v>60</v>
      </c>
      <c r="E51" s="224"/>
      <c r="F51" s="225"/>
      <c r="G51" s="130" t="s">
        <v>70</v>
      </c>
      <c r="H51" s="116"/>
      <c r="I51" s="116"/>
      <c r="J51" s="131" t="str">
        <f>IFERROR(ROUND(STDEV(J$44:L$48)/J$49*100,1),"－")</f>
        <v>－</v>
      </c>
      <c r="K51" s="131"/>
      <c r="L51" s="131"/>
      <c r="M51" s="116" t="s">
        <v>127</v>
      </c>
      <c r="N51" s="117"/>
      <c r="O51" s="290" t="s">
        <v>73</v>
      </c>
      <c r="P51" s="116"/>
      <c r="Q51" s="116"/>
      <c r="R51" s="131" t="str">
        <f>IFERROR(ROUND(STDEV(R$44:T$48)/R$49*100,1),"－")</f>
        <v>－</v>
      </c>
      <c r="S51" s="131"/>
      <c r="T51" s="131"/>
      <c r="U51" s="116" t="s">
        <v>132</v>
      </c>
      <c r="V51" s="116"/>
      <c r="W51" s="46" t="s">
        <v>104</v>
      </c>
      <c r="X51" s="44"/>
      <c r="Y51" s="10"/>
      <c r="Z51" s="16">
        <v>29.5</v>
      </c>
      <c r="AA51" s="15">
        <v>1.0052000000000001</v>
      </c>
      <c r="AD51" s="10"/>
      <c r="AE51" s="12"/>
    </row>
    <row r="52" spans="1:34" ht="13.5" customHeight="1">
      <c r="A52" s="122"/>
      <c r="B52" s="123"/>
      <c r="C52" s="37"/>
      <c r="D52" s="37"/>
      <c r="E52" s="37"/>
      <c r="F52" s="37"/>
      <c r="G52" s="37"/>
      <c r="H52" s="37"/>
      <c r="I52" s="37"/>
      <c r="J52" s="37"/>
      <c r="K52" s="37"/>
      <c r="L52" s="37"/>
      <c r="M52" s="37"/>
      <c r="N52" s="37"/>
      <c r="O52" s="37"/>
      <c r="P52" s="37"/>
      <c r="Q52" s="37"/>
      <c r="R52" s="37"/>
      <c r="S52" s="37"/>
      <c r="T52" s="37"/>
      <c r="U52" s="37"/>
      <c r="V52" s="37"/>
      <c r="W52" s="37"/>
      <c r="X52" s="44"/>
      <c r="Y52" s="10"/>
      <c r="Z52" s="16">
        <v>30</v>
      </c>
      <c r="AA52" s="15">
        <v>1.0054000000000001</v>
      </c>
      <c r="AD52" s="10"/>
      <c r="AE52" s="12"/>
    </row>
    <row r="53" spans="1:34" ht="13.5" customHeight="1">
      <c r="A53" s="122"/>
      <c r="B53" s="123"/>
      <c r="C53" s="37"/>
      <c r="D53" s="37"/>
      <c r="E53" s="37"/>
      <c r="F53" s="37"/>
      <c r="G53" s="37"/>
      <c r="H53" s="37"/>
      <c r="I53" s="37"/>
      <c r="J53" s="37"/>
      <c r="K53" s="37"/>
      <c r="L53" s="37"/>
      <c r="M53" s="37"/>
      <c r="N53" s="37"/>
      <c r="O53" s="37"/>
      <c r="P53" s="37"/>
      <c r="Q53" s="37"/>
      <c r="R53" s="37"/>
      <c r="S53" s="37"/>
      <c r="T53" s="37"/>
      <c r="U53" s="37"/>
      <c r="V53" s="37"/>
      <c r="W53" s="37"/>
      <c r="X53" s="44"/>
      <c r="Y53" s="10"/>
      <c r="Z53" s="12"/>
      <c r="AD53" s="10"/>
      <c r="AE53" s="12"/>
    </row>
    <row r="54" spans="1:34" ht="13.5" customHeight="1" thickBot="1">
      <c r="A54" s="124"/>
      <c r="B54" s="125"/>
      <c r="C54" s="47"/>
      <c r="D54" s="47"/>
      <c r="E54" s="47"/>
      <c r="F54" s="47"/>
      <c r="G54" s="47"/>
      <c r="H54" s="47"/>
      <c r="I54" s="47"/>
      <c r="J54" s="47"/>
      <c r="K54" s="47"/>
      <c r="L54" s="47"/>
      <c r="M54" s="47"/>
      <c r="N54" s="47"/>
      <c r="O54" s="47"/>
      <c r="P54" s="47"/>
      <c r="Q54" s="47"/>
      <c r="R54" s="47"/>
      <c r="S54" s="47"/>
      <c r="T54" s="47"/>
      <c r="U54" s="47"/>
      <c r="V54" s="47"/>
      <c r="W54" s="47"/>
      <c r="X54" s="44"/>
      <c r="Y54" s="10"/>
      <c r="Z54" s="12"/>
      <c r="AD54" s="10"/>
      <c r="AE54" s="12"/>
    </row>
    <row r="55" spans="1:34" ht="18.75">
      <c r="A55" s="111" t="s">
        <v>1</v>
      </c>
      <c r="B55" s="112"/>
      <c r="C55" s="112"/>
      <c r="D55" s="112"/>
      <c r="E55" s="112"/>
      <c r="F55" s="112"/>
      <c r="G55" s="112"/>
      <c r="H55" s="112"/>
      <c r="I55" s="112"/>
      <c r="J55" s="112"/>
      <c r="K55" s="112"/>
      <c r="L55" s="112"/>
      <c r="M55" s="112"/>
      <c r="N55" s="112"/>
      <c r="O55" s="112"/>
      <c r="P55" s="112"/>
      <c r="Q55" s="112"/>
      <c r="R55" s="112"/>
      <c r="S55" s="112"/>
      <c r="T55" s="112"/>
      <c r="U55" s="112"/>
      <c r="V55" s="112"/>
      <c r="W55" s="112"/>
      <c r="X55" s="113"/>
      <c r="Y55" s="10"/>
      <c r="Z55" s="12"/>
    </row>
    <row r="56" spans="1:34">
      <c r="A56" s="105"/>
      <c r="B56" s="106"/>
      <c r="C56" s="106"/>
      <c r="D56" s="106"/>
      <c r="E56" s="106"/>
      <c r="F56" s="106"/>
      <c r="G56" s="106"/>
      <c r="H56" s="106"/>
      <c r="I56" s="106"/>
      <c r="J56" s="106"/>
      <c r="K56" s="106"/>
      <c r="L56" s="106"/>
      <c r="M56" s="106"/>
      <c r="N56" s="106"/>
      <c r="O56" s="106"/>
      <c r="P56" s="106"/>
      <c r="Q56" s="106"/>
      <c r="R56" s="106"/>
      <c r="S56" s="106"/>
      <c r="T56" s="106"/>
      <c r="U56" s="106"/>
      <c r="V56" s="106"/>
      <c r="W56" s="106"/>
      <c r="X56" s="107"/>
      <c r="Y56" s="10"/>
      <c r="Z56" s="12" t="str">
        <f>IFERROR(IF(OR($M$50=$C$49,$M$51=$C$49,$U$50=$C$49,$U$51=$C$49),$C$49,IF(OR($M$50=$C$50,$M$51=$C$50,$U$50=$C$50,$U$51=$C$50),$C$50,$C$51)),"")</f>
        <v>不適</v>
      </c>
    </row>
    <row r="57" spans="1:34">
      <c r="A57" s="105"/>
      <c r="B57" s="106"/>
      <c r="C57" s="106"/>
      <c r="D57" s="106"/>
      <c r="E57" s="106"/>
      <c r="F57" s="106"/>
      <c r="G57" s="106"/>
      <c r="H57" s="106"/>
      <c r="I57" s="106"/>
      <c r="J57" s="106"/>
      <c r="K57" s="106"/>
      <c r="L57" s="106"/>
      <c r="M57" s="106"/>
      <c r="N57" s="106"/>
      <c r="O57" s="106"/>
      <c r="P57" s="106"/>
      <c r="Q57" s="106"/>
      <c r="R57" s="106"/>
      <c r="S57" s="106"/>
      <c r="T57" s="106"/>
      <c r="U57" s="106"/>
      <c r="V57" s="106"/>
      <c r="W57" s="106"/>
      <c r="X57" s="107"/>
      <c r="Y57" s="10"/>
      <c r="Z57" s="12"/>
    </row>
    <row r="58" spans="1:34" ht="15" thickBot="1">
      <c r="A58" s="108"/>
      <c r="B58" s="109"/>
      <c r="C58" s="109"/>
      <c r="D58" s="109"/>
      <c r="E58" s="109"/>
      <c r="F58" s="109"/>
      <c r="G58" s="109"/>
      <c r="H58" s="109"/>
      <c r="I58" s="109"/>
      <c r="J58" s="109"/>
      <c r="K58" s="109"/>
      <c r="L58" s="109"/>
      <c r="M58" s="109"/>
      <c r="N58" s="109"/>
      <c r="O58" s="109"/>
      <c r="P58" s="109"/>
      <c r="Q58" s="109"/>
      <c r="R58" s="109"/>
      <c r="S58" s="109"/>
      <c r="T58" s="109"/>
      <c r="U58" s="109"/>
      <c r="V58" s="109"/>
      <c r="W58" s="109"/>
      <c r="X58" s="110"/>
    </row>
    <row r="59" spans="1:34">
      <c r="A59" s="245" t="s">
        <v>0</v>
      </c>
      <c r="B59" s="246"/>
      <c r="C59" s="246"/>
      <c r="D59" s="246"/>
      <c r="E59" s="268" t="s">
        <v>9</v>
      </c>
      <c r="F59" s="268"/>
      <c r="G59" s="268"/>
      <c r="H59" s="268"/>
      <c r="I59" s="268"/>
      <c r="J59" s="268"/>
      <c r="K59" s="268"/>
      <c r="L59" s="268"/>
      <c r="M59" s="268"/>
      <c r="N59" s="268"/>
      <c r="O59" s="268"/>
      <c r="P59" s="268"/>
      <c r="Q59" s="268"/>
      <c r="R59" s="268"/>
      <c r="S59" s="268"/>
      <c r="T59" s="268"/>
      <c r="U59" s="268"/>
      <c r="V59" s="268"/>
      <c r="W59" s="268"/>
      <c r="X59" s="269"/>
    </row>
    <row r="60" spans="1:34" ht="16.5" customHeight="1">
      <c r="A60" s="264"/>
      <c r="B60" s="265"/>
      <c r="C60" s="265"/>
      <c r="D60" s="265"/>
      <c r="E60" s="270" t="s">
        <v>5</v>
      </c>
      <c r="F60" s="270"/>
      <c r="G60" s="270"/>
      <c r="H60" s="270"/>
      <c r="I60" s="270"/>
      <c r="J60" s="270"/>
      <c r="K60" s="270"/>
      <c r="L60" s="270"/>
      <c r="M60" s="270"/>
      <c r="N60" s="270"/>
      <c r="O60" s="270"/>
      <c r="P60" s="270"/>
      <c r="Q60" s="270"/>
      <c r="R60" s="270"/>
      <c r="S60" s="270"/>
      <c r="T60" s="270"/>
      <c r="U60" s="270"/>
      <c r="V60" s="270"/>
      <c r="W60" s="270"/>
      <c r="X60" s="271"/>
    </row>
    <row r="61" spans="1:34" ht="16.5" customHeight="1">
      <c r="A61" s="266"/>
      <c r="B61" s="267"/>
      <c r="C61" s="267"/>
      <c r="D61" s="267"/>
      <c r="E61" s="270" t="s">
        <v>6</v>
      </c>
      <c r="F61" s="270"/>
      <c r="G61" s="270"/>
      <c r="H61" s="270"/>
      <c r="I61" s="270"/>
      <c r="J61" s="270"/>
      <c r="K61" s="270"/>
      <c r="L61" s="270"/>
      <c r="M61" s="270"/>
      <c r="N61" s="270"/>
      <c r="O61" s="270"/>
      <c r="P61" s="270"/>
      <c r="Q61" s="270"/>
      <c r="R61" s="270"/>
      <c r="S61" s="270"/>
      <c r="T61" s="270"/>
      <c r="U61" s="270"/>
      <c r="V61" s="270"/>
      <c r="W61" s="270"/>
      <c r="X61" s="271"/>
    </row>
    <row r="62" spans="1:34" ht="16.5" customHeight="1">
      <c r="A62" s="266"/>
      <c r="B62" s="267"/>
      <c r="C62" s="267"/>
      <c r="D62" s="267"/>
      <c r="E62" s="272" t="s">
        <v>8</v>
      </c>
      <c r="F62" s="270"/>
      <c r="G62" s="270"/>
      <c r="H62" s="270"/>
      <c r="I62" s="270"/>
      <c r="J62" s="270"/>
      <c r="K62" s="270"/>
      <c r="L62" s="270"/>
      <c r="M62" s="270"/>
      <c r="N62" s="270"/>
      <c r="O62" s="270"/>
      <c r="P62" s="270"/>
      <c r="Q62" s="270"/>
      <c r="R62" s="270"/>
      <c r="S62" s="270"/>
      <c r="T62" s="270"/>
      <c r="U62" s="270"/>
      <c r="V62" s="270"/>
      <c r="W62" s="270"/>
      <c r="X62" s="271"/>
    </row>
    <row r="63" spans="1:34" ht="16.5" customHeight="1" thickBot="1">
      <c r="A63" s="247"/>
      <c r="B63" s="248"/>
      <c r="C63" s="248"/>
      <c r="D63" s="248"/>
      <c r="E63" s="243" t="s">
        <v>7</v>
      </c>
      <c r="F63" s="243"/>
      <c r="G63" s="243"/>
      <c r="H63" s="243"/>
      <c r="I63" s="243"/>
      <c r="J63" s="243"/>
      <c r="K63" s="243"/>
      <c r="L63" s="243"/>
      <c r="M63" s="243"/>
      <c r="N63" s="243"/>
      <c r="O63" s="243"/>
      <c r="P63" s="243"/>
      <c r="Q63" s="243"/>
      <c r="R63" s="243"/>
      <c r="S63" s="243"/>
      <c r="T63" s="243"/>
      <c r="U63" s="243"/>
      <c r="V63" s="243"/>
      <c r="W63" s="243"/>
      <c r="X63" s="244"/>
    </row>
    <row r="64" spans="1:34" ht="30" customHeight="1">
      <c r="A64" s="245" t="s">
        <v>61</v>
      </c>
      <c r="B64" s="246"/>
      <c r="C64" s="246"/>
      <c r="D64" s="246"/>
      <c r="E64" s="249" t="str">
        <f>IFERROR(IF(OR($M$50=$C$48,$M$51=$C$48,$U$50=$C$48,$U$51=$C$48),$C$48,IF(OR($M$50=$C$49,$M$51=$C$49,$U$50=$C$49,$U$51=$C$49),$C$49,IF(OR($M$50=$C$50,$M$51=$C$50,$U$50=$C$50,$U$51=$C$50),$C$50,IF(OR(AND($M$50=$C$51,$M$51=$C$51),AND($U$50=$C$51,$U$51=$C$51)),$C$51,"")))),"")</f>
        <v>不適</v>
      </c>
      <c r="F64" s="250"/>
      <c r="G64" s="253" t="s">
        <v>2</v>
      </c>
      <c r="H64" s="254"/>
      <c r="I64" s="257" t="s">
        <v>126</v>
      </c>
      <c r="J64" s="258"/>
      <c r="K64" s="258"/>
      <c r="L64" s="258"/>
      <c r="M64" s="258"/>
      <c r="N64" s="258"/>
      <c r="O64" s="258"/>
      <c r="P64" s="258"/>
      <c r="Q64" s="258"/>
      <c r="R64" s="258"/>
      <c r="S64" s="258"/>
      <c r="T64" s="258"/>
      <c r="U64" s="258"/>
      <c r="V64" s="258"/>
      <c r="W64" s="258"/>
      <c r="X64" s="259"/>
    </row>
    <row r="65" spans="1:29" ht="30" customHeight="1" thickBot="1">
      <c r="A65" s="247"/>
      <c r="B65" s="248"/>
      <c r="C65" s="248"/>
      <c r="D65" s="248"/>
      <c r="E65" s="251"/>
      <c r="F65" s="252"/>
      <c r="G65" s="255"/>
      <c r="H65" s="256"/>
      <c r="I65" s="273">
        <v>42696</v>
      </c>
      <c r="J65" s="274"/>
      <c r="K65" s="274"/>
      <c r="L65" s="274"/>
      <c r="M65" s="274"/>
      <c r="N65" s="274"/>
      <c r="O65" s="274"/>
      <c r="P65" s="275" t="s">
        <v>103</v>
      </c>
      <c r="Q65" s="275"/>
      <c r="R65" s="275"/>
      <c r="S65" s="275" t="s">
        <v>25</v>
      </c>
      <c r="T65" s="275"/>
      <c r="U65" s="275"/>
      <c r="V65" s="275"/>
      <c r="W65" s="275"/>
      <c r="X65" s="276"/>
    </row>
    <row r="66" spans="1:29" ht="3.75" customHeight="1" thickBot="1">
      <c r="A66" s="65"/>
      <c r="B66" s="49"/>
      <c r="C66" s="49"/>
      <c r="D66" s="49"/>
      <c r="E66" s="48"/>
      <c r="F66" s="49"/>
      <c r="G66" s="49"/>
      <c r="H66" s="49"/>
      <c r="I66" s="49"/>
      <c r="J66" s="49"/>
      <c r="K66" s="49"/>
      <c r="L66" s="49"/>
      <c r="M66" s="49"/>
      <c r="N66" s="49"/>
      <c r="O66" s="49"/>
      <c r="P66" s="49"/>
      <c r="Q66" s="49"/>
      <c r="R66" s="49"/>
      <c r="S66" s="49"/>
      <c r="T66" s="49"/>
      <c r="U66" s="49"/>
      <c r="V66" s="49"/>
      <c r="W66" s="49"/>
      <c r="X66" s="50"/>
      <c r="Y66" s="4"/>
    </row>
    <row r="67" spans="1:29" s="5" customFormat="1" ht="63.75" customHeight="1" thickBot="1">
      <c r="A67" s="240" t="s">
        <v>3</v>
      </c>
      <c r="B67" s="241"/>
      <c r="C67" s="241"/>
      <c r="D67" s="278"/>
      <c r="E67" s="279" t="s">
        <v>133</v>
      </c>
      <c r="F67" s="241"/>
      <c r="G67" s="241"/>
      <c r="H67" s="241"/>
      <c r="I67" s="241"/>
      <c r="J67" s="241"/>
      <c r="K67" s="241"/>
      <c r="L67" s="241"/>
      <c r="M67" s="241"/>
      <c r="N67" s="241"/>
      <c r="O67" s="242"/>
      <c r="P67" s="240" t="s">
        <v>62</v>
      </c>
      <c r="Q67" s="278"/>
      <c r="R67" s="240"/>
      <c r="S67" s="241"/>
      <c r="T67" s="241"/>
      <c r="U67" s="241"/>
      <c r="V67" s="241"/>
      <c r="W67" s="241"/>
      <c r="X67" s="242"/>
      <c r="AC67" s="3"/>
    </row>
    <row r="68" spans="1:29">
      <c r="A68" s="6"/>
      <c r="B68" s="6"/>
      <c r="C68" s="6"/>
      <c r="D68" s="6"/>
      <c r="E68" s="6"/>
      <c r="F68" s="6"/>
      <c r="G68" s="6"/>
      <c r="H68" s="6"/>
      <c r="I68" s="6"/>
      <c r="J68" s="6"/>
      <c r="K68" s="6"/>
      <c r="L68" s="6"/>
      <c r="M68" s="6"/>
      <c r="N68" s="6"/>
      <c r="O68" s="6"/>
      <c r="P68" s="6"/>
      <c r="Q68" s="6"/>
      <c r="R68" s="6"/>
      <c r="S68" s="6"/>
      <c r="T68" s="6"/>
      <c r="U68" s="6"/>
      <c r="V68" s="6"/>
      <c r="W68" s="6"/>
      <c r="X68" s="6"/>
      <c r="AC68" s="5"/>
    </row>
    <row r="74" spans="1:29">
      <c r="G74" s="2"/>
      <c r="H74" s="6"/>
    </row>
    <row r="75" spans="1:29">
      <c r="G75" s="2"/>
      <c r="H75" s="6"/>
    </row>
  </sheetData>
  <mergeCells count="137">
    <mergeCell ref="R41:V41"/>
    <mergeCell ref="R40:T40"/>
    <mergeCell ref="O50:Q50"/>
    <mergeCell ref="R50:T50"/>
    <mergeCell ref="U50:V50"/>
    <mergeCell ref="O51:Q51"/>
    <mergeCell ref="R51:T51"/>
    <mergeCell ref="U51:V51"/>
    <mergeCell ref="O48:Q48"/>
    <mergeCell ref="R48:T48"/>
    <mergeCell ref="U48:V48"/>
    <mergeCell ref="O49:Q49"/>
    <mergeCell ref="R49:T49"/>
    <mergeCell ref="U49:V49"/>
    <mergeCell ref="O46:Q46"/>
    <mergeCell ref="R46:T46"/>
    <mergeCell ref="U46:V46"/>
    <mergeCell ref="O47:Q47"/>
    <mergeCell ref="R47:T47"/>
    <mergeCell ref="U47:V47"/>
    <mergeCell ref="R43:V43"/>
    <mergeCell ref="O44:Q44"/>
    <mergeCell ref="O45:Q45"/>
    <mergeCell ref="J48:L48"/>
    <mergeCell ref="M48:N48"/>
    <mergeCell ref="G49:I49"/>
    <mergeCell ref="J49:L49"/>
    <mergeCell ref="M49:N49"/>
    <mergeCell ref="G45:I45"/>
    <mergeCell ref="J45:L45"/>
    <mergeCell ref="M45:N45"/>
    <mergeCell ref="G46:I46"/>
    <mergeCell ref="J46:L46"/>
    <mergeCell ref="R67:X67"/>
    <mergeCell ref="E63:X63"/>
    <mergeCell ref="A64:D65"/>
    <mergeCell ref="E64:F65"/>
    <mergeCell ref="G64:H65"/>
    <mergeCell ref="I64:X64"/>
    <mergeCell ref="D47:F47"/>
    <mergeCell ref="D48:F48"/>
    <mergeCell ref="D49:F49"/>
    <mergeCell ref="D50:F50"/>
    <mergeCell ref="D51:F51"/>
    <mergeCell ref="A59:D63"/>
    <mergeCell ref="E59:X59"/>
    <mergeCell ref="E60:X60"/>
    <mergeCell ref="E61:X61"/>
    <mergeCell ref="E62:X62"/>
    <mergeCell ref="I65:O65"/>
    <mergeCell ref="P65:R65"/>
    <mergeCell ref="S65:X65"/>
    <mergeCell ref="G50:I50"/>
    <mergeCell ref="J50:L50"/>
    <mergeCell ref="A67:D67"/>
    <mergeCell ref="E67:O67"/>
    <mergeCell ref="P67:Q67"/>
    <mergeCell ref="A18:D19"/>
    <mergeCell ref="S18:U19"/>
    <mergeCell ref="D40:F40"/>
    <mergeCell ref="D41:F41"/>
    <mergeCell ref="D42:F42"/>
    <mergeCell ref="D43:F43"/>
    <mergeCell ref="D44:F44"/>
    <mergeCell ref="D45:F45"/>
    <mergeCell ref="D46:F46"/>
    <mergeCell ref="E19:F19"/>
    <mergeCell ref="G19:R19"/>
    <mergeCell ref="J43:N43"/>
    <mergeCell ref="G43:I43"/>
    <mergeCell ref="G44:I44"/>
    <mergeCell ref="M46:N46"/>
    <mergeCell ref="O41:Q41"/>
    <mergeCell ref="J40:N40"/>
    <mergeCell ref="G40:I40"/>
    <mergeCell ref="G41:N41"/>
    <mergeCell ref="G42:I42"/>
    <mergeCell ref="M42:N42"/>
    <mergeCell ref="J42:L42"/>
    <mergeCell ref="R45:T45"/>
    <mergeCell ref="U45:V45"/>
    <mergeCell ref="A1:G4"/>
    <mergeCell ref="H1:I1"/>
    <mergeCell ref="H2:X3"/>
    <mergeCell ref="A5:G7"/>
    <mergeCell ref="H5:J7"/>
    <mergeCell ref="K5:R7"/>
    <mergeCell ref="S5:X7"/>
    <mergeCell ref="E17:M17"/>
    <mergeCell ref="R17:X17"/>
    <mergeCell ref="A15:E15"/>
    <mergeCell ref="F15:K15"/>
    <mergeCell ref="L15:O15"/>
    <mergeCell ref="P15:X15"/>
    <mergeCell ref="A17:D17"/>
    <mergeCell ref="N17:Q17"/>
    <mergeCell ref="A13:E13"/>
    <mergeCell ref="F13:K13"/>
    <mergeCell ref="L13:O13"/>
    <mergeCell ref="P13:X13"/>
    <mergeCell ref="A14:E14"/>
    <mergeCell ref="F14:K14"/>
    <mergeCell ref="L14:O14"/>
    <mergeCell ref="P14:X14"/>
    <mergeCell ref="A56:X58"/>
    <mergeCell ref="A55:X55"/>
    <mergeCell ref="Z22:AA22"/>
    <mergeCell ref="J44:L44"/>
    <mergeCell ref="M44:N44"/>
    <mergeCell ref="R44:T44"/>
    <mergeCell ref="U44:V44"/>
    <mergeCell ref="A20:B36"/>
    <mergeCell ref="A40:B54"/>
    <mergeCell ref="A37:B39"/>
    <mergeCell ref="G47:I47"/>
    <mergeCell ref="J47:L47"/>
    <mergeCell ref="M50:N50"/>
    <mergeCell ref="G51:I51"/>
    <mergeCell ref="J51:L51"/>
    <mergeCell ref="M51:N51"/>
    <mergeCell ref="O40:Q40"/>
    <mergeCell ref="U40:V40"/>
    <mergeCell ref="O42:Q42"/>
    <mergeCell ref="R42:T42"/>
    <mergeCell ref="U42:V42"/>
    <mergeCell ref="O43:Q43"/>
    <mergeCell ref="M47:N47"/>
    <mergeCell ref="G48:I48"/>
    <mergeCell ref="V18:X19"/>
    <mergeCell ref="AF30:AF32"/>
    <mergeCell ref="AF29:AG29"/>
    <mergeCell ref="AF28:AI28"/>
    <mergeCell ref="AF34:AF35"/>
    <mergeCell ref="AF33:AG33"/>
    <mergeCell ref="O18:R18"/>
    <mergeCell ref="E18:H18"/>
    <mergeCell ref="I18:N18"/>
  </mergeCells>
  <phoneticPr fontId="1"/>
  <dataValidations count="1">
    <dataValidation type="list" allowBlank="1" showInputMessage="1" showErrorMessage="1" sqref="A37:B39">
      <formula1>"1,2,3,4,5"</formula1>
    </dataValidation>
  </dataValidations>
  <printOptions horizontalCentered="1"/>
  <pageMargins left="0.23622047244094491" right="0.23622047244094491" top="0.74803149606299213" bottom="0.74803149606299213" header="0.31496062992125984" footer="0.31496062992125984"/>
  <pageSetup paperSize="9" scale="72" orientation="portrait" r:id="rId1"/>
  <headerFooter alignWithMargins="0"/>
  <colBreaks count="1" manualBreakCount="1">
    <brk id="24" max="1048575" man="1"/>
  </colBreaks>
  <drawing r:id="rId2"/>
  <legacyDrawing r:id="rId3"/>
  <controls>
    <mc:AlternateContent xmlns:mc="http://schemas.openxmlformats.org/markup-compatibility/2006">
      <mc:Choice Requires="x14">
        <control shapeId="2055" r:id="rId4" name="NoAbnormalityCheckBox">
          <controlPr defaultSize="0" autoLine="0" r:id="rId5">
            <anchor moveWithCells="1">
              <from>
                <xdr:col>5</xdr:col>
                <xdr:colOff>381000</xdr:colOff>
                <xdr:row>16</xdr:row>
                <xdr:rowOff>0</xdr:rowOff>
              </from>
              <to>
                <xdr:col>8</xdr:col>
                <xdr:colOff>0</xdr:colOff>
                <xdr:row>17</xdr:row>
                <xdr:rowOff>0</xdr:rowOff>
              </to>
            </anchor>
          </controlPr>
        </control>
      </mc:Choice>
      <mc:Fallback>
        <control shapeId="2055" r:id="rId4" name="NoAbnormalityCheckBox"/>
      </mc:Fallback>
    </mc:AlternateContent>
    <mc:AlternateContent xmlns:mc="http://schemas.openxmlformats.org/markup-compatibility/2006">
      <mc:Choice Requires="x14">
        <control shapeId="2057" r:id="rId6" name="AbnormalityCheckBox">
          <controlPr defaultSize="0" autoLine="0" r:id="rId7">
            <anchor moveWithCells="1">
              <from>
                <xdr:col>9</xdr:col>
                <xdr:colOff>57150</xdr:colOff>
                <xdr:row>16</xdr:row>
                <xdr:rowOff>0</xdr:rowOff>
              </from>
              <to>
                <xdr:col>11</xdr:col>
                <xdr:colOff>0</xdr:colOff>
                <xdr:row>17</xdr:row>
                <xdr:rowOff>0</xdr:rowOff>
              </to>
            </anchor>
          </controlPr>
        </control>
      </mc:Choice>
      <mc:Fallback>
        <control shapeId="2057" r:id="rId6" name="AbnormalityCheckBox"/>
      </mc:Fallback>
    </mc:AlternateContent>
    <mc:AlternateContent xmlns:mc="http://schemas.openxmlformats.org/markup-compatibility/2006">
      <mc:Choice Requires="x14">
        <control shapeId="2058" r:id="rId8" name="NoLeakCheckBox">
          <controlPr defaultSize="0" autoLine="0" r:id="rId9">
            <anchor moveWithCells="1">
              <from>
                <xdr:col>17</xdr:col>
                <xdr:colOff>85725</xdr:colOff>
                <xdr:row>16</xdr:row>
                <xdr:rowOff>0</xdr:rowOff>
              </from>
              <to>
                <xdr:col>21</xdr:col>
                <xdr:colOff>66675</xdr:colOff>
                <xdr:row>17</xdr:row>
                <xdr:rowOff>0</xdr:rowOff>
              </to>
            </anchor>
          </controlPr>
        </control>
      </mc:Choice>
      <mc:Fallback>
        <control shapeId="2058" r:id="rId8" name="NoLeakCheckBox"/>
      </mc:Fallback>
    </mc:AlternateContent>
    <mc:AlternateContent xmlns:mc="http://schemas.openxmlformats.org/markup-compatibility/2006">
      <mc:Choice Requires="x14">
        <control shapeId="2059" r:id="rId10" name="LeakCheckBox">
          <controlPr defaultSize="0" autoLine="0" r:id="rId11">
            <anchor moveWithCells="1">
              <from>
                <xdr:col>21</xdr:col>
                <xdr:colOff>57150</xdr:colOff>
                <xdr:row>16</xdr:row>
                <xdr:rowOff>0</xdr:rowOff>
              </from>
              <to>
                <xdr:col>23</xdr:col>
                <xdr:colOff>133350</xdr:colOff>
                <xdr:row>17</xdr:row>
                <xdr:rowOff>0</xdr:rowOff>
              </to>
            </anchor>
          </controlPr>
        </control>
      </mc:Choice>
      <mc:Fallback>
        <control shapeId="2059" r:id="rId10" name="LeakCheckBox"/>
      </mc:Fallback>
    </mc:AlternateContent>
    <mc:AlternateContent xmlns:mc="http://schemas.openxmlformats.org/markup-compatibility/2006">
      <mc:Choice Requires="x14">
        <control shapeId="2060" r:id="rId12" name="UnDegradationCheckBox">
          <controlPr defaultSize="0" autoLine="0" r:id="rId13">
            <anchor moveWithCells="1">
              <from>
                <xdr:col>4</xdr:col>
                <xdr:colOff>66675</xdr:colOff>
                <xdr:row>18</xdr:row>
                <xdr:rowOff>0</xdr:rowOff>
              </from>
              <to>
                <xdr:col>6</xdr:col>
                <xdr:colOff>0</xdr:colOff>
                <xdr:row>19</xdr:row>
                <xdr:rowOff>0</xdr:rowOff>
              </to>
            </anchor>
          </controlPr>
        </control>
      </mc:Choice>
      <mc:Fallback>
        <control shapeId="2060" r:id="rId12" name="UnDegradationCheckBox"/>
      </mc:Fallback>
    </mc:AlternateContent>
    <mc:AlternateContent xmlns:mc="http://schemas.openxmlformats.org/markup-compatibility/2006">
      <mc:Choice Requires="x14">
        <control shapeId="2061" r:id="rId14" name="DisassemblyCleaningCheckBox">
          <controlPr defaultSize="0" autoLine="0" r:id="rId15">
            <anchor moveWithCells="1">
              <from>
                <xdr:col>6</xdr:col>
                <xdr:colOff>47625</xdr:colOff>
                <xdr:row>18</xdr:row>
                <xdr:rowOff>0</xdr:rowOff>
              </from>
              <to>
                <xdr:col>8</xdr:col>
                <xdr:colOff>171450</xdr:colOff>
                <xdr:row>19</xdr:row>
                <xdr:rowOff>0</xdr:rowOff>
              </to>
            </anchor>
          </controlPr>
        </control>
      </mc:Choice>
      <mc:Fallback>
        <control shapeId="2061" r:id="rId14" name="DisassemblyCleaningCheckBox"/>
      </mc:Fallback>
    </mc:AlternateContent>
    <mc:AlternateContent xmlns:mc="http://schemas.openxmlformats.org/markup-compatibility/2006">
      <mc:Choice Requires="x14">
        <control shapeId="2063" r:id="rId16" name="TeflonSealCheckBox">
          <controlPr defaultSize="0" autoLine="0" r:id="rId17">
            <anchor moveWithCells="1">
              <from>
                <xdr:col>8</xdr:col>
                <xdr:colOff>228600</xdr:colOff>
                <xdr:row>18</xdr:row>
                <xdr:rowOff>0</xdr:rowOff>
              </from>
              <to>
                <xdr:col>11</xdr:col>
                <xdr:colOff>295275</xdr:colOff>
                <xdr:row>19</xdr:row>
                <xdr:rowOff>0</xdr:rowOff>
              </to>
            </anchor>
          </controlPr>
        </control>
      </mc:Choice>
      <mc:Fallback>
        <control shapeId="2063" r:id="rId16" name="TeflonSealCheckBox"/>
      </mc:Fallback>
    </mc:AlternateContent>
    <mc:AlternateContent xmlns:mc="http://schemas.openxmlformats.org/markup-compatibility/2006">
      <mc:Choice Requires="x14">
        <control shapeId="2064" r:id="rId18" name="ORingCheckBox">
          <controlPr defaultSize="0" autoLine="0" r:id="rId19">
            <anchor moveWithCells="1">
              <from>
                <xdr:col>12</xdr:col>
                <xdr:colOff>0</xdr:colOff>
                <xdr:row>18</xdr:row>
                <xdr:rowOff>0</xdr:rowOff>
              </from>
              <to>
                <xdr:col>14</xdr:col>
                <xdr:colOff>142875</xdr:colOff>
                <xdr:row>19</xdr:row>
                <xdr:rowOff>0</xdr:rowOff>
              </to>
            </anchor>
          </controlPr>
        </control>
      </mc:Choice>
      <mc:Fallback>
        <control shapeId="2064" r:id="rId18" name="ORingCheckBox"/>
      </mc:Fallback>
    </mc:AlternateContent>
    <mc:AlternateContent xmlns:mc="http://schemas.openxmlformats.org/markup-compatibility/2006">
      <mc:Choice Requires="x14">
        <control shapeId="2067" r:id="rId20" name="OtherCheckBox">
          <controlPr defaultSize="0" autoLine="0" r:id="rId21">
            <anchor moveWithCells="1">
              <from>
                <xdr:col>14</xdr:col>
                <xdr:colOff>228600</xdr:colOff>
                <xdr:row>18</xdr:row>
                <xdr:rowOff>0</xdr:rowOff>
              </from>
              <to>
                <xdr:col>18</xdr:col>
                <xdr:colOff>0</xdr:colOff>
                <xdr:row>19</xdr:row>
                <xdr:rowOff>0</xdr:rowOff>
              </to>
            </anchor>
          </controlPr>
        </control>
      </mc:Choice>
      <mc:Fallback>
        <control shapeId="2067" r:id="rId20" name="OtherCheckBox"/>
      </mc:Fallback>
    </mc:AlternateContent>
    <mc:AlternateContent xmlns:mc="http://schemas.openxmlformats.org/markup-compatibility/2006">
      <mc:Choice Requires="x14">
        <control shapeId="2068" r:id="rId22" name="AfterNoLeakCheckBox">
          <controlPr defaultSize="0" autoLine="0" r:id="rId23">
            <anchor moveWithCells="1">
              <from>
                <xdr:col>21</xdr:col>
                <xdr:colOff>123825</xdr:colOff>
                <xdr:row>17</xdr:row>
                <xdr:rowOff>209550</xdr:rowOff>
              </from>
              <to>
                <xdr:col>23</xdr:col>
                <xdr:colOff>409575</xdr:colOff>
                <xdr:row>18</xdr:row>
                <xdr:rowOff>209550</xdr:rowOff>
              </to>
            </anchor>
          </controlPr>
        </control>
      </mc:Choice>
      <mc:Fallback>
        <control shapeId="2068" r:id="rId22" name="AfterNoLeakCheckBox"/>
      </mc:Fallback>
    </mc:AlternateContent>
    <mc:AlternateContent xmlns:mc="http://schemas.openxmlformats.org/markup-compatibility/2006">
      <mc:Choice Requires="x14">
        <control shapeId="2070" r:id="rId24" name="AfterLeakCheckBox">
          <controlPr defaultSize="0" autoLine="0" r:id="rId25">
            <anchor moveWithCells="1">
              <from>
                <xdr:col>21</xdr:col>
                <xdr:colOff>123825</xdr:colOff>
                <xdr:row>17</xdr:row>
                <xdr:rowOff>0</xdr:rowOff>
              </from>
              <to>
                <xdr:col>24</xdr:col>
                <xdr:colOff>0</xdr:colOff>
                <xdr:row>17</xdr:row>
                <xdr:rowOff>266700</xdr:rowOff>
              </to>
            </anchor>
          </controlPr>
        </control>
      </mc:Choice>
      <mc:Fallback>
        <control shapeId="2070" r:id="rId24" name="AfterLeakCheckBox"/>
      </mc:Fallback>
    </mc:AlternateContent>
    <mc:AlternateContent xmlns:mc="http://schemas.openxmlformats.org/markup-compatibility/2006">
      <mc:Choice Requires="x14">
        <control shapeId="2071" r:id="rId26" name="AfterNotCoveredCheckBox">
          <controlPr defaultSize="0" autoLine="0" r:id="rId27">
            <anchor moveWithCells="1">
              <from>
                <xdr:col>21</xdr:col>
                <xdr:colOff>133350</xdr:colOff>
                <xdr:row>18</xdr:row>
                <xdr:rowOff>66675</xdr:rowOff>
              </from>
              <to>
                <xdr:col>24</xdr:col>
                <xdr:colOff>0</xdr:colOff>
                <xdr:row>19</xdr:row>
                <xdr:rowOff>0</xdr:rowOff>
              </to>
            </anchor>
          </controlPr>
        </control>
      </mc:Choice>
      <mc:Fallback>
        <control shapeId="2071" r:id="rId26" name="AfterNotCoveredCheckBox"/>
      </mc:Fallback>
    </mc:AlternateContent>
    <mc:AlternateContent xmlns:mc="http://schemas.openxmlformats.org/markup-compatibility/2006">
      <mc:Choice Requires="x14">
        <control shapeId="2072" r:id="rId28" name="PassCheckBox">
          <controlPr defaultSize="0" autoLine="0" r:id="rId29">
            <anchor moveWithCells="1">
              <from>
                <xdr:col>4</xdr:col>
                <xdr:colOff>152400</xdr:colOff>
                <xdr:row>63</xdr:row>
                <xdr:rowOff>0</xdr:rowOff>
              </from>
              <to>
                <xdr:col>6</xdr:col>
                <xdr:colOff>0</xdr:colOff>
                <xdr:row>63</xdr:row>
                <xdr:rowOff>314325</xdr:rowOff>
              </to>
            </anchor>
          </controlPr>
        </control>
      </mc:Choice>
      <mc:Fallback>
        <control shapeId="2072" r:id="rId28" name="PassCheckBox"/>
      </mc:Fallback>
    </mc:AlternateContent>
    <mc:AlternateContent xmlns:mc="http://schemas.openxmlformats.org/markup-compatibility/2006">
      <mc:Choice Requires="x14">
        <control shapeId="2073" r:id="rId30" name="WarningCheckBox">
          <controlPr defaultSize="0" autoLine="0" r:id="rId31">
            <anchor moveWithCells="1">
              <from>
                <xdr:col>4</xdr:col>
                <xdr:colOff>133350</xdr:colOff>
                <xdr:row>63</xdr:row>
                <xdr:rowOff>209550</xdr:rowOff>
              </from>
              <to>
                <xdr:col>5</xdr:col>
                <xdr:colOff>638175</xdr:colOff>
                <xdr:row>64</xdr:row>
                <xdr:rowOff>142875</xdr:rowOff>
              </to>
            </anchor>
          </controlPr>
        </control>
      </mc:Choice>
      <mc:Fallback>
        <control shapeId="2073" r:id="rId30" name="WarningCheckBox"/>
      </mc:Fallback>
    </mc:AlternateContent>
    <mc:AlternateContent xmlns:mc="http://schemas.openxmlformats.org/markup-compatibility/2006">
      <mc:Choice Requires="x14">
        <control shapeId="2074" r:id="rId32" name="FailureCheckBox">
          <controlPr defaultSize="0" autoLine="0" r:id="rId33">
            <anchor moveWithCells="1">
              <from>
                <xdr:col>4</xdr:col>
                <xdr:colOff>152400</xdr:colOff>
                <xdr:row>64</xdr:row>
                <xdr:rowOff>66675</xdr:rowOff>
              </from>
              <to>
                <xdr:col>6</xdr:col>
                <xdr:colOff>0</xdr:colOff>
                <xdr:row>65</xdr:row>
                <xdr:rowOff>0</xdr:rowOff>
              </to>
            </anchor>
          </controlPr>
        </control>
      </mc:Choice>
      <mc:Fallback>
        <control shapeId="2074" r:id="rId32" name="FailureCheckBox"/>
      </mc:Fallback>
    </mc:AlternateContent>
    <mc:AlternateContent xmlns:mc="http://schemas.openxmlformats.org/markup-compatibility/2006">
      <mc:Choice Requires="x14">
        <control shapeId="2088" r:id="rId34" name="NotCoveredCheckBox">
          <controlPr defaultSize="0" autoLine="0" r:id="rId35">
            <anchor moveWithCells="1">
              <from>
                <xdr:col>14</xdr:col>
                <xdr:colOff>142875</xdr:colOff>
                <xdr:row>17</xdr:row>
                <xdr:rowOff>0</xdr:rowOff>
              </from>
              <to>
                <xdr:col>18</xdr:col>
                <xdr:colOff>0</xdr:colOff>
                <xdr:row>18</xdr:row>
                <xdr:rowOff>0</xdr:rowOff>
              </to>
            </anchor>
          </controlPr>
        </control>
      </mc:Choice>
      <mc:Fallback>
        <control shapeId="2088" r:id="rId34" name="NotCoveredCheckBox"/>
      </mc:Fallback>
    </mc:AlternateContent>
    <mc:AlternateContent xmlns:mc="http://schemas.openxmlformats.org/markup-compatibility/2006">
      <mc:Choice Requires="x14">
        <control shapeId="2049" r:id="rId36" name="Button 1">
          <controlPr defaultSize="0" print="0" autoFill="0" autoPict="0" macro="[0]!CreateTestRecordCertificate">
            <anchor moveWithCells="1" sizeWithCells="1">
              <from>
                <xdr:col>25</xdr:col>
                <xdr:colOff>0</xdr:colOff>
                <xdr:row>1</xdr:row>
                <xdr:rowOff>133350</xdr:rowOff>
              </from>
              <to>
                <xdr:col>26</xdr:col>
                <xdr:colOff>266700</xdr:colOff>
                <xdr:row>6</xdr:row>
                <xdr:rowOff>9525</xdr:rowOff>
              </to>
            </anchor>
          </controlPr>
        </control>
      </mc:Choice>
    </mc:AlternateContent>
    <mc:AlternateContent xmlns:mc="http://schemas.openxmlformats.org/markup-compatibility/2006">
      <mc:Choice Requires="x14">
        <control shapeId="2050" r:id="rId37" name="Button 2">
          <controlPr defaultSize="0" print="0" autoFill="0" autoPict="0" macro="[0]!PreSaveTestRecordCertificate">
            <anchor moveWithCells="1" sizeWithCells="1">
              <from>
                <xdr:col>25</xdr:col>
                <xdr:colOff>0</xdr:colOff>
                <xdr:row>7</xdr:row>
                <xdr:rowOff>47625</xdr:rowOff>
              </from>
              <to>
                <xdr:col>26</xdr:col>
                <xdr:colOff>342900</xdr:colOff>
                <xdr:row>11</xdr:row>
                <xdr:rowOff>104775</xdr:rowOff>
              </to>
            </anchor>
          </controlPr>
        </control>
      </mc:Choice>
    </mc:AlternateContent>
    <mc:AlternateContent xmlns:mc="http://schemas.openxmlformats.org/markup-compatibility/2006">
      <mc:Choice Requires="x14">
        <control shapeId="2052" r:id="rId38" name="Button 4">
          <controlPr defaultSize="0" print="0" autoFill="0" autoPict="0" macro="[0]!Sheet3.OverwriteSaveTestRecordCertificate">
            <anchor moveWithCells="1" sizeWithCells="1">
              <from>
                <xdr:col>27</xdr:col>
                <xdr:colOff>171450</xdr:colOff>
                <xdr:row>2</xdr:row>
                <xdr:rowOff>19050</xdr:rowOff>
              </from>
              <to>
                <xdr:col>30</xdr:col>
                <xdr:colOff>76200</xdr:colOff>
                <xdr:row>6</xdr:row>
                <xdr:rowOff>104775</xdr:rowOff>
              </to>
            </anchor>
          </controlPr>
        </control>
      </mc:Choice>
    </mc:AlternateContent>
    <mc:AlternateContent xmlns:mc="http://schemas.openxmlformats.org/markup-compatibility/2006">
      <mc:Choice Requires="x14">
        <control shapeId="2054" r:id="rId39" name="Button 6">
          <controlPr defaultSize="0" print="0" autoFill="0" autoPict="0" macro="[0]!Sheet3.ChkPrint">
            <anchor moveWithCells="1" sizeWithCells="1">
              <from>
                <xdr:col>25</xdr:col>
                <xdr:colOff>0</xdr:colOff>
                <xdr:row>13</xdr:row>
                <xdr:rowOff>0</xdr:rowOff>
              </from>
              <to>
                <xdr:col>26</xdr:col>
                <xdr:colOff>381000</xdr:colOff>
                <xdr:row>16</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data</vt:lpstr>
      <vt:lpstr>ラベルリスト</vt:lpstr>
      <vt:lpstr>検定記録書</vt:lpstr>
      <vt:lpstr>検定記録書!Print_Area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2016-11-24T00:20:05Z</cp:lastPrinted>
  <dcterms:created xsi:type="dcterms:W3CDTF">1997-06-19T07:40:59Z</dcterms:created>
  <dcterms:modified xsi:type="dcterms:W3CDTF">2016-11-24T02:27:57Z</dcterms:modified>
</cp:coreProperties>
</file>